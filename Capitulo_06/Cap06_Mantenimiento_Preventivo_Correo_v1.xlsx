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7627B676E3101D0A29EDDAC85A3F04B9F61A476C" xr6:coauthVersionLast="47" xr6:coauthVersionMax="47" xr10:uidLastSave="{4F25B806-75B2-4565-B404-EF88EC6F7701}"/>
  <bookViews>
    <workbookView xWindow="28680" yWindow="-120" windowWidth="29040" windowHeight="16440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F7" i="2"/>
  <c r="E7" i="2"/>
  <c r="D7" i="2"/>
  <c r="C7" i="2"/>
  <c r="F6" i="2"/>
  <c r="E6" i="2"/>
  <c r="D6" i="2"/>
  <c r="C6" i="2"/>
  <c r="F5" i="2"/>
  <c r="E5" i="2"/>
  <c r="D5" i="2"/>
  <c r="C5" i="2"/>
  <c r="F4" i="2"/>
  <c r="F8" i="2" s="1"/>
  <c r="E4" i="2"/>
  <c r="E8" i="2" s="1"/>
  <c r="D4" i="2"/>
  <c r="D8" i="2" s="1"/>
  <c r="C4" i="2"/>
  <c r="C8" i="2" s="1"/>
  <c r="C32" i="1"/>
</calcChain>
</file>

<file path=xl/sharedStrings.xml><?xml version="1.0" encoding="utf-8"?>
<sst xmlns="http://schemas.openxmlformats.org/spreadsheetml/2006/main" count="112" uniqueCount="51">
  <si>
    <t>CIBERPROTECCIÓN PARA PyMES  ·  Capítulo 6 — Correo Electrónico</t>
  </si>
  <si>
    <t>Mantenimiento Preventivo del Correo Electrónico  ·  Plantilla 6.4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</si>
  <si>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</si>
  <si>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</si>
  <si>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</si>
  <si>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</si>
  <si>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</si>
  <si>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</si>
  <si>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</si>
  <si>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SEMANAL</t>
  </si>
  <si>
    <t>Revisar el panel de seguridad del tenant y verificar que no haya alertas críticas activas sin atender (inicios de sesión sospechosos, políticas deshabilitadas, cambios de configuración no autorizados).</t>
  </si>
  <si>
    <t>Pendiente</t>
  </si>
  <si>
    <t>Administrador de TI</t>
  </si>
  <si>
    <t>Verificar el KRI-CE-03: revisar los registros de intentos fallidos de inicio de sesión en buzones ejecutivos y comparar contra el umbral definido. Documentar si supera el umbral de alerta.</t>
  </si>
  <si>
    <t>Verificar el KRI-CE-05: comprobar si el dominio corporativo aparece en alguna lista negra de reputación de correo mediante herramienta externa (ej. MXToolbox Blacklist Check).</t>
  </si>
  <si>
    <t>Verificar el KRI-CE-07: revisar que no existan reglas de reenvío automático activas hacia dominios externos no autorizados. Comparar contra el listado de excepciones documentadas.</t>
  </si>
  <si>
    <t>Confirmar que las copias de seguridad de buzones ejecutadas durante la semana completaron sin errores y que los registros de ejecución están disponibles para revisión.</t>
  </si>
  <si>
    <t>Verificar la integridad de los registros DNS de autenticación: consultar los registros SPF, DKIM y DMARC del dominio corporativo y confirmar que responden correctamente.</t>
  </si>
  <si>
    <t>MENSUAL</t>
  </si>
  <si>
    <t>Revisar el KRI-CE-01: calcular el porcentaje de buzones activos con MFA habilitado. Si el valor está por debajo del umbral verde (95%), identificar los buzones sin MFA y ejecutar la habilitación forzada.</t>
  </si>
  <si>
    <t>Revisar el KRI-CE-02: verificar que todos los buzones compartidos y funcionales activos tienen un propietario asignado en el inventario. Actualizar el inventario si hay cambios.</t>
  </si>
  <si>
    <t>Revisar el KRI-CE-04: obtener el Score de Seguridad del tenant y calcular la variación respecto al mes anterior. Si hay deterioro, identificar las recomendaciones nuevas o los controles deshabilitados.</t>
  </si>
  <si>
    <t>Revisar el KRI-CE-06: identificar buzones en estado desactivado que mantienen una licencia activa asignada y liberar las licencias correspondientes.</t>
  </si>
  <si>
    <t>Auditar el inventario de buzones: verificar que los buzones creados, modificados o desactivados durante el mes están correctamente registrados en el inventario (Plantilla 6.2).</t>
  </si>
  <si>
    <t>Revisar el estado de las políticas de seguridad predefinidas del tenant: confirmar que siguen activas y que cubren a todos los usuarios del dominio. Verificar que no hayan sido modificadas desde la última revisión.</t>
  </si>
  <si>
    <t>Verificar que las políticas de retención de mensajes están activas y aplicándose correctamente a todos los buzones dentro de su alcance. Confirmar que ningún buzón bajo Reserva Legal ha tenido eliminaciones.</t>
  </si>
  <si>
    <t>Revisar el reporte de actividad de correo del tenant: volumen de mensajes enviados y recibidos, tasa de mensajes bloqueados por el filtro antispam/antiphishing, y mensajes en cuarentena sin revisar.</t>
  </si>
  <si>
    <t>TRIMESTRAL</t>
  </si>
  <si>
    <t>Ejecutar una revisión completa del inventario de buzones: verificar que todos los buzones activos corresponden a colaboradores vigentes, que los buzones desactivados están correctamente archivados y que no hay buzones huérfanos sin propietario.</t>
  </si>
  <si>
    <t>Revisar la lista de miembros de todos los buzones compartidos y listas de distribución: confirmar que todos los miembros activos siguen requiriendo acceso y remover los que ya no correspondan.</t>
  </si>
  <si>
    <t>Verificar la integridad de las copias de seguridad mediante una restauración de prueba: seleccionar un buzón de prueba y restaurar un conjunto de mensajes de una fecha anterior. Documentar el resultado.</t>
  </si>
  <si>
    <t>Revisar los registros de auditoría del tenant del trimestre: identificar cambios de configuración inusuales, accesos desde ubicaciones no habituales, o actividades administrativas no documentadas en el sistema de tickets.</t>
  </si>
  <si>
    <t>Verificar que las cuentas administrativas del tenant siguen cumpliendo los criterios de seguridad: MFA activo, nombre de cuenta no predeterminado, sin licencia de buzón de producción asignada, contraseña rotada en los últimos 90 días.</t>
  </si>
  <si>
    <t>Revisar la configuración del filtro antispam/antiphishing: verificar que las reglas personalizadas siguen siendo pertinentes, que no hay remitentes o dominios en lista blanca sin justificación documentada, y que las tasas de falsos positivos son aceptables.</t>
  </si>
  <si>
    <t>Evaluar si los criterios de activación del Plan de Recuperación definidos en la Función de Respuesta siguen siendo pertinentes y actualizar si hubo cambios en la infraestructura o en el equipo de TI.</t>
  </si>
  <si>
    <t>ANUAL</t>
  </si>
  <si>
    <t>Realizar una auditoría completa de la configuración de seguridad del tenant: comparar la configuración actual contra la línea base documentada al momento de la implementación e identificar desviaciones.</t>
  </si>
  <si>
    <t>Revisar y actualizar la Política de Gestión del Correo Electrónico (Plantilla 6.1) y el Procedimiento de Gestión de Buzones (Plantilla 6.2): verificar que reflejan los procesos operativos actuales y obtener nueva aprobación de la gerencia.</t>
  </si>
  <si>
    <t>Revisar y actualizar los umbrales de los KRI (Plantilla 6.3): evaluar si los umbrales definidos siguen siendo apropiados para el tamaño y madurez actual de la organización. Ajustar si es necesario.</t>
  </si>
  <si>
    <t>Ejecutar una simulación completa del Plan de Recuperación ante Desastres del servicio de correo: desde la detección del incidente hasta la recuperación del servicio. Documentar el tiempo de recuperación obtenido y compararlo con el RTO definido.</t>
  </si>
  <si>
    <t>Revisar los contratos con proveedores del servicio de correo, del filtro antispam/antiphishing y del servicio de respaldo: verificar fechas de renovación, niveles de servicio (SLA) y condiciones de soporte técnico.</t>
  </si>
  <si>
    <t>Actualizar el Plan de Recuperación ante Desastres con los cambios de infraestructura, personal de TI y proveedores ocurridos durante el año.</t>
  </si>
  <si>
    <t>Revisar y actualizar los procedimientos de recuperación de buzones documentados en la Función de Recuperación: verificar que los pasos siguen siendo válidos para la versión actual de la plataforma de correo.</t>
  </si>
  <si>
    <t>TOTAL TAREAS</t>
  </si>
  <si>
    <t>Dashboard — Estado del Mantenimiento Preventivo del Correo Electrónico</t>
  </si>
  <si>
    <t>Total tareas</t>
  </si>
  <si>
    <t>En progreso</t>
  </si>
  <si>
    <t>Completada</t>
  </si>
  <si>
    <t>No aplica</t>
  </si>
  <si>
    <t>TOTAL GENERAL</t>
  </si>
  <si>
    <t>Nota: cambie el estado de cada tarea en la hoja "Checklist" usando el menú desplegable. El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</si>
</sst>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555555"/>
      <name val="Calibri"/>
      <charset val="1"/>
    </font>
    <font>
      <sz val="10"/>
      <color rgb="FF000000"/>
      <name val="Calibri"/>
      <charset val="1"/>
    </font>
    <font>
      <b/>
      <sz val="10"/>
      <color rgb="FF0F3F6E"/>
      <name val="Calibri"/>
      <charset val="1"/>
    </font>
    <font>
      <sz val="10"/>
      <color rgb="FF0F3F6E"/>
      <name val="Calibri"/>
      <charset val="1"/>
    </font>
    <font>
      <b/>
      <sz val="10"/>
      <color rgb="FF000000"/>
      <name val="Calibri"/>
      <charset val="1"/>
    </font>
    <font>
      <i/>
      <sz val="9"/>
      <color rgb="FF555555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BA7517"/>
        <bgColor rgb="FFFF6600"/>
      </patternFill>
    </fill>
    <fill>
      <patternFill patternType="solid">
        <fgColor rgb="FF3B6D11"/>
        <bgColor rgb="FF555555"/>
      </patternFill>
    </fill>
    <fill>
      <patternFill patternType="solid">
        <fgColor rgb="FFA32D2D"/>
        <bgColor rgb="FF993366"/>
      </patternFill>
    </fill>
    <fill>
      <patternFill patternType="solid">
        <fgColor rgb="FFB5D4F4"/>
        <bgColor rgb="FF99CCFF"/>
      </patternFill>
    </fill>
  </fills>
  <borders count="4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0" borderId="0" xfId="0" applyFont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7" borderId="3" xfId="0" applyFont="1" applyFill="1" applyBorder="1" applyAlignment="1">
      <alignment horizontal="center" vertical="center" textRotation="90" wrapText="1"/>
    </xf>
    <xf numFmtId="0" fontId="4" fillId="6" borderId="3" xfId="0" applyFont="1" applyFill="1" applyBorder="1" applyAlignment="1">
      <alignment horizontal="center" vertical="center" textRotation="90" wrapText="1"/>
    </xf>
    <xf numFmtId="0" fontId="4" fillId="3" borderId="3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3" customWidth="1"/>
    <col min="2" max="2" width="5" customWidth="1"/>
    <col min="3" max="3" width="72" customWidth="1"/>
    <col min="4" max="4" width="14" customWidth="1"/>
    <col min="5" max="5" width="22" customWidth="1"/>
    <col min="6" max="6" width="18" customWidth="1"/>
    <col min="7" max="7" width="28" customWidth="1"/>
  </cols>
  <sheetData>
    <row r="1" spans="1:7" ht="21.75" customHeight="1" x14ac:dyDescent="0.25">
      <c r="A1" s="9" t="s">
        <v>0</v>
      </c>
      <c r="B1" s="9"/>
      <c r="C1" s="9"/>
      <c r="D1" s="9"/>
      <c r="E1" s="9"/>
      <c r="F1" s="9"/>
      <c r="G1" s="9"/>
    </row>
    <row r="2" spans="1:7" ht="18" customHeight="1" x14ac:dyDescent="0.25">
      <c r="A2" s="8" t="s">
        <v>1</v>
      </c>
      <c r="B2" s="8"/>
      <c r="C2" s="8"/>
      <c r="D2" s="8"/>
      <c r="E2" s="8"/>
      <c r="F2" s="8"/>
      <c r="G2" s="8"/>
    </row>
    <row r="3" spans="1:7" ht="27.75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</row>
    <row r="4" spans="1:7" ht="42" customHeight="1" x14ac:dyDescent="0.25">
      <c r="A4" s="7" t="s">
        <v>9</v>
      </c>
      <c r="B4" s="11">
        <v>1</v>
      </c>
      <c r="C4" s="12" t="s">
        <v>10</v>
      </c>
      <c r="D4" s="13" t="s">
        <v>11</v>
      </c>
      <c r="E4" s="12" t="s">
        <v>12</v>
      </c>
      <c r="F4" s="13"/>
      <c r="G4" s="12"/>
    </row>
    <row r="5" spans="1:7" ht="42" customHeight="1" x14ac:dyDescent="0.25">
      <c r="A5" s="7"/>
      <c r="B5" s="14">
        <v>2</v>
      </c>
      <c r="C5" s="15" t="s">
        <v>13</v>
      </c>
      <c r="D5" s="16" t="s">
        <v>11</v>
      </c>
      <c r="E5" s="15" t="s">
        <v>12</v>
      </c>
      <c r="F5" s="16"/>
      <c r="G5" s="15"/>
    </row>
    <row r="6" spans="1:7" ht="42" customHeight="1" x14ac:dyDescent="0.25">
      <c r="A6" s="7"/>
      <c r="B6" s="11">
        <v>3</v>
      </c>
      <c r="C6" s="12" t="s">
        <v>14</v>
      </c>
      <c r="D6" s="13" t="s">
        <v>11</v>
      </c>
      <c r="E6" s="12" t="s">
        <v>12</v>
      </c>
      <c r="F6" s="13"/>
      <c r="G6" s="12"/>
    </row>
    <row r="7" spans="1:7" ht="42" customHeight="1" x14ac:dyDescent="0.25">
      <c r="A7" s="7"/>
      <c r="B7" s="14">
        <v>4</v>
      </c>
      <c r="C7" s="15" t="s">
        <v>15</v>
      </c>
      <c r="D7" s="16" t="s">
        <v>11</v>
      </c>
      <c r="E7" s="15" t="s">
        <v>12</v>
      </c>
      <c r="F7" s="16"/>
      <c r="G7" s="15"/>
    </row>
    <row r="8" spans="1:7" ht="42" customHeight="1" x14ac:dyDescent="0.25">
      <c r="A8" s="7"/>
      <c r="B8" s="11">
        <v>5</v>
      </c>
      <c r="C8" s="12" t="s">
        <v>16</v>
      </c>
      <c r="D8" s="13" t="s">
        <v>11</v>
      </c>
      <c r="E8" s="12" t="s">
        <v>12</v>
      </c>
      <c r="F8" s="13"/>
      <c r="G8" s="12"/>
    </row>
    <row r="9" spans="1:7" ht="42" customHeight="1" x14ac:dyDescent="0.25">
      <c r="A9" s="7"/>
      <c r="B9" s="14">
        <v>6</v>
      </c>
      <c r="C9" s="15" t="s">
        <v>17</v>
      </c>
      <c r="D9" s="16" t="s">
        <v>11</v>
      </c>
      <c r="E9" s="15" t="s">
        <v>12</v>
      </c>
      <c r="F9" s="16"/>
      <c r="G9" s="15"/>
    </row>
    <row r="10" spans="1:7" ht="42" customHeight="1" x14ac:dyDescent="0.25">
      <c r="A10" s="6" t="s">
        <v>18</v>
      </c>
      <c r="B10" s="11">
        <v>1</v>
      </c>
      <c r="C10" s="12" t="s">
        <v>19</v>
      </c>
      <c r="D10" s="13" t="s">
        <v>11</v>
      </c>
      <c r="E10" s="12" t="s">
        <v>12</v>
      </c>
      <c r="F10" s="13"/>
      <c r="G10" s="12"/>
    </row>
    <row r="11" spans="1:7" ht="42" customHeight="1" x14ac:dyDescent="0.25">
      <c r="A11" s="6"/>
      <c r="B11" s="14">
        <v>2</v>
      </c>
      <c r="C11" s="15" t="s">
        <v>20</v>
      </c>
      <c r="D11" s="16" t="s">
        <v>11</v>
      </c>
      <c r="E11" s="15" t="s">
        <v>12</v>
      </c>
      <c r="F11" s="16"/>
      <c r="G11" s="15"/>
    </row>
    <row r="12" spans="1:7" ht="42" customHeight="1" x14ac:dyDescent="0.25">
      <c r="A12" s="6"/>
      <c r="B12" s="11">
        <v>3</v>
      </c>
      <c r="C12" s="12" t="s">
        <v>21</v>
      </c>
      <c r="D12" s="13" t="s">
        <v>11</v>
      </c>
      <c r="E12" s="12" t="s">
        <v>12</v>
      </c>
      <c r="F12" s="13"/>
      <c r="G12" s="12"/>
    </row>
    <row r="13" spans="1:7" ht="42" customHeight="1" x14ac:dyDescent="0.25">
      <c r="A13" s="6"/>
      <c r="B13" s="14">
        <v>4</v>
      </c>
      <c r="C13" s="15" t="s">
        <v>22</v>
      </c>
      <c r="D13" s="16" t="s">
        <v>11</v>
      </c>
      <c r="E13" s="15" t="s">
        <v>12</v>
      </c>
      <c r="F13" s="16"/>
      <c r="G13" s="15"/>
    </row>
    <row r="14" spans="1:7" ht="42" customHeight="1" x14ac:dyDescent="0.25">
      <c r="A14" s="6"/>
      <c r="B14" s="11">
        <v>5</v>
      </c>
      <c r="C14" s="12" t="s">
        <v>23</v>
      </c>
      <c r="D14" s="13" t="s">
        <v>11</v>
      </c>
      <c r="E14" s="12" t="s">
        <v>12</v>
      </c>
      <c r="F14" s="13"/>
      <c r="G14" s="12"/>
    </row>
    <row r="15" spans="1:7" ht="42" customHeight="1" x14ac:dyDescent="0.25">
      <c r="A15" s="6"/>
      <c r="B15" s="14">
        <v>6</v>
      </c>
      <c r="C15" s="15" t="s">
        <v>24</v>
      </c>
      <c r="D15" s="16" t="s">
        <v>11</v>
      </c>
      <c r="E15" s="15" t="s">
        <v>12</v>
      </c>
      <c r="F15" s="16"/>
      <c r="G15" s="15"/>
    </row>
    <row r="16" spans="1:7" ht="42" customHeight="1" x14ac:dyDescent="0.25">
      <c r="A16" s="6"/>
      <c r="B16" s="11">
        <v>7</v>
      </c>
      <c r="C16" s="12" t="s">
        <v>25</v>
      </c>
      <c r="D16" s="13" t="s">
        <v>11</v>
      </c>
      <c r="E16" s="12" t="s">
        <v>12</v>
      </c>
      <c r="F16" s="13"/>
      <c r="G16" s="12"/>
    </row>
    <row r="17" spans="1:7" ht="42" customHeight="1" x14ac:dyDescent="0.25">
      <c r="A17" s="6"/>
      <c r="B17" s="14">
        <v>8</v>
      </c>
      <c r="C17" s="15" t="s">
        <v>26</v>
      </c>
      <c r="D17" s="16" t="s">
        <v>11</v>
      </c>
      <c r="E17" s="15" t="s">
        <v>12</v>
      </c>
      <c r="F17" s="16"/>
      <c r="G17" s="15"/>
    </row>
    <row r="18" spans="1:7" ht="42" customHeight="1" x14ac:dyDescent="0.25">
      <c r="A18" s="5" t="s">
        <v>27</v>
      </c>
      <c r="B18" s="11">
        <v>1</v>
      </c>
      <c r="C18" s="12" t="s">
        <v>28</v>
      </c>
      <c r="D18" s="13" t="s">
        <v>11</v>
      </c>
      <c r="E18" s="12" t="s">
        <v>12</v>
      </c>
      <c r="F18" s="13"/>
      <c r="G18" s="12"/>
    </row>
    <row r="19" spans="1:7" ht="42" customHeight="1" x14ac:dyDescent="0.25">
      <c r="A19" s="5"/>
      <c r="B19" s="14">
        <v>2</v>
      </c>
      <c r="C19" s="15" t="s">
        <v>29</v>
      </c>
      <c r="D19" s="16" t="s">
        <v>11</v>
      </c>
      <c r="E19" s="15" t="s">
        <v>12</v>
      </c>
      <c r="F19" s="16"/>
      <c r="G19" s="15"/>
    </row>
    <row r="20" spans="1:7" ht="42" customHeight="1" x14ac:dyDescent="0.25">
      <c r="A20" s="5"/>
      <c r="B20" s="11">
        <v>3</v>
      </c>
      <c r="C20" s="12" t="s">
        <v>30</v>
      </c>
      <c r="D20" s="13" t="s">
        <v>11</v>
      </c>
      <c r="E20" s="12" t="s">
        <v>12</v>
      </c>
      <c r="F20" s="13"/>
      <c r="G20" s="12"/>
    </row>
    <row r="21" spans="1:7" ht="42" customHeight="1" x14ac:dyDescent="0.25">
      <c r="A21" s="5"/>
      <c r="B21" s="14">
        <v>4</v>
      </c>
      <c r="C21" s="15" t="s">
        <v>31</v>
      </c>
      <c r="D21" s="16" t="s">
        <v>11</v>
      </c>
      <c r="E21" s="15" t="s">
        <v>12</v>
      </c>
      <c r="F21" s="16"/>
      <c r="G21" s="15"/>
    </row>
    <row r="22" spans="1:7" ht="42" customHeight="1" x14ac:dyDescent="0.25">
      <c r="A22" s="5"/>
      <c r="B22" s="11">
        <v>5</v>
      </c>
      <c r="C22" s="12" t="s">
        <v>32</v>
      </c>
      <c r="D22" s="13" t="s">
        <v>11</v>
      </c>
      <c r="E22" s="12" t="s">
        <v>12</v>
      </c>
      <c r="F22" s="13"/>
      <c r="G22" s="12"/>
    </row>
    <row r="23" spans="1:7" ht="42" customHeight="1" x14ac:dyDescent="0.25">
      <c r="A23" s="5"/>
      <c r="B23" s="14">
        <v>6</v>
      </c>
      <c r="C23" s="15" t="s">
        <v>33</v>
      </c>
      <c r="D23" s="16" t="s">
        <v>11</v>
      </c>
      <c r="E23" s="15" t="s">
        <v>12</v>
      </c>
      <c r="F23" s="16"/>
      <c r="G23" s="15"/>
    </row>
    <row r="24" spans="1:7" ht="42" customHeight="1" x14ac:dyDescent="0.25">
      <c r="A24" s="5"/>
      <c r="B24" s="11">
        <v>7</v>
      </c>
      <c r="C24" s="12" t="s">
        <v>34</v>
      </c>
      <c r="D24" s="13" t="s">
        <v>11</v>
      </c>
      <c r="E24" s="12" t="s">
        <v>12</v>
      </c>
      <c r="F24" s="13"/>
      <c r="G24" s="12"/>
    </row>
    <row r="25" spans="1:7" ht="42" customHeight="1" x14ac:dyDescent="0.25">
      <c r="A25" s="4" t="s">
        <v>35</v>
      </c>
      <c r="B25" s="11">
        <v>1</v>
      </c>
      <c r="C25" s="12" t="s">
        <v>36</v>
      </c>
      <c r="D25" s="13" t="s">
        <v>11</v>
      </c>
      <c r="E25" s="12" t="s">
        <v>12</v>
      </c>
      <c r="F25" s="13"/>
      <c r="G25" s="12"/>
    </row>
    <row r="26" spans="1:7" ht="42" customHeight="1" x14ac:dyDescent="0.25">
      <c r="A26" s="4"/>
      <c r="B26" s="14">
        <v>2</v>
      </c>
      <c r="C26" s="15" t="s">
        <v>37</v>
      </c>
      <c r="D26" s="16" t="s">
        <v>11</v>
      </c>
      <c r="E26" s="15" t="s">
        <v>12</v>
      </c>
      <c r="F26" s="16"/>
      <c r="G26" s="15"/>
    </row>
    <row r="27" spans="1:7" ht="42" customHeight="1" x14ac:dyDescent="0.25">
      <c r="A27" s="4"/>
      <c r="B27" s="11">
        <v>3</v>
      </c>
      <c r="C27" s="12" t="s">
        <v>38</v>
      </c>
      <c r="D27" s="13" t="s">
        <v>11</v>
      </c>
      <c r="E27" s="12" t="s">
        <v>12</v>
      </c>
      <c r="F27" s="13"/>
      <c r="G27" s="12"/>
    </row>
    <row r="28" spans="1:7" ht="42" customHeight="1" x14ac:dyDescent="0.25">
      <c r="A28" s="4"/>
      <c r="B28" s="14">
        <v>4</v>
      </c>
      <c r="C28" s="15" t="s">
        <v>39</v>
      </c>
      <c r="D28" s="16" t="s">
        <v>11</v>
      </c>
      <c r="E28" s="15" t="s">
        <v>12</v>
      </c>
      <c r="F28" s="16"/>
      <c r="G28" s="15"/>
    </row>
    <row r="29" spans="1:7" ht="42" customHeight="1" x14ac:dyDescent="0.25">
      <c r="A29" s="4"/>
      <c r="B29" s="11">
        <v>5</v>
      </c>
      <c r="C29" s="12" t="s">
        <v>40</v>
      </c>
      <c r="D29" s="13" t="s">
        <v>11</v>
      </c>
      <c r="E29" s="12" t="s">
        <v>12</v>
      </c>
      <c r="F29" s="13"/>
      <c r="G29" s="12"/>
    </row>
    <row r="30" spans="1:7" ht="42" customHeight="1" x14ac:dyDescent="0.25">
      <c r="A30" s="4"/>
      <c r="B30" s="14">
        <v>6</v>
      </c>
      <c r="C30" s="15" t="s">
        <v>41</v>
      </c>
      <c r="D30" s="16" t="s">
        <v>11</v>
      </c>
      <c r="E30" s="15" t="s">
        <v>12</v>
      </c>
      <c r="F30" s="16"/>
      <c r="G30" s="15"/>
    </row>
    <row r="31" spans="1:7" ht="42" customHeight="1" x14ac:dyDescent="0.25">
      <c r="A31" s="4"/>
      <c r="B31" s="11">
        <v>7</v>
      </c>
      <c r="C31" s="12" t="s">
        <v>42</v>
      </c>
      <c r="D31" s="13" t="s">
        <v>11</v>
      </c>
      <c r="E31" s="12" t="s">
        <v>12</v>
      </c>
      <c r="F31" s="13"/>
      <c r="G31" s="12"/>
    </row>
    <row r="32" spans="1:7" ht="18" customHeight="1" x14ac:dyDescent="0.25">
      <c r="A32" s="3" t="s">
        <v>43</v>
      </c>
      <c r="B32" s="3"/>
      <c r="C32" s="17">
        <f>COUNTA(C4:C31)</f>
        <v>28</v>
      </c>
      <c r="D32" s="2"/>
      <c r="E32" s="2"/>
      <c r="F32" s="2"/>
      <c r="G32" s="2"/>
    </row>
  </sheetData>
  <mergeCells count="8">
    <mergeCell ref="A25:A31"/>
    <mergeCell ref="A32:B32"/>
    <mergeCell ref="D32:G32"/>
    <mergeCell ref="A1:G1"/>
    <mergeCell ref="A2:G2"/>
    <mergeCell ref="A4:A9"/>
    <mergeCell ref="A10:A17"/>
    <mergeCell ref="A18:A24"/>
  </mergeCells>
  <dataValidations count="1">
    <dataValidation type="list" sqref="D4:D31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6" width="13" customWidth="1"/>
  </cols>
  <sheetData>
    <row r="1" spans="1:6" ht="21.75" customHeight="1" x14ac:dyDescent="0.25">
      <c r="A1" s="9" t="s">
        <v>0</v>
      </c>
      <c r="B1" s="9"/>
      <c r="C1" s="9"/>
      <c r="D1" s="9"/>
      <c r="E1" s="9"/>
      <c r="F1" s="9"/>
    </row>
    <row r="2" spans="1:6" ht="18" customHeight="1" x14ac:dyDescent="0.25">
      <c r="A2" s="8" t="s">
        <v>44</v>
      </c>
      <c r="B2" s="8"/>
      <c r="C2" s="8"/>
      <c r="D2" s="8"/>
      <c r="E2" s="8"/>
      <c r="F2" s="8"/>
    </row>
    <row r="3" spans="1:6" ht="27.75" customHeight="1" x14ac:dyDescent="0.25">
      <c r="A3" s="10" t="s">
        <v>2</v>
      </c>
      <c r="B3" s="10" t="s">
        <v>45</v>
      </c>
      <c r="C3" s="10" t="s">
        <v>11</v>
      </c>
      <c r="D3" s="10" t="s">
        <v>46</v>
      </c>
      <c r="E3" s="10" t="s">
        <v>47</v>
      </c>
      <c r="F3" s="10" t="s">
        <v>48</v>
      </c>
    </row>
    <row r="4" spans="1:6" ht="21.75" customHeight="1" x14ac:dyDescent="0.25">
      <c r="A4" s="18" t="s">
        <v>9</v>
      </c>
      <c r="B4" s="19">
        <v>6</v>
      </c>
      <c r="C4" s="13">
        <f>COUNTIF(Checklist!D4:D9,"Pendiente")</f>
        <v>6</v>
      </c>
      <c r="D4" s="13">
        <f>COUNTIF(Checklist!D4:D9,"En progreso")</f>
        <v>0</v>
      </c>
      <c r="E4" s="13">
        <f>COUNTIF(Checklist!D4:D9,"Completada")</f>
        <v>0</v>
      </c>
      <c r="F4" s="13">
        <f>COUNTIF(Checklist!D4:D9,"No aplica")</f>
        <v>0</v>
      </c>
    </row>
    <row r="5" spans="1:6" ht="21.75" customHeight="1" x14ac:dyDescent="0.25">
      <c r="A5" s="20" t="s">
        <v>18</v>
      </c>
      <c r="B5" s="21">
        <v>8</v>
      </c>
      <c r="C5" s="16">
        <f>COUNTIF(Checklist!D10:D17,"Pendiente")</f>
        <v>8</v>
      </c>
      <c r="D5" s="16">
        <f>COUNTIF(Checklist!D10:D17,"En progreso")</f>
        <v>0</v>
      </c>
      <c r="E5" s="16">
        <f>COUNTIF(Checklist!D10:D17,"Completada")</f>
        <v>0</v>
      </c>
      <c r="F5" s="16">
        <f>COUNTIF(Checklist!D10:D17,"No aplica")</f>
        <v>0</v>
      </c>
    </row>
    <row r="6" spans="1:6" ht="21.75" customHeight="1" x14ac:dyDescent="0.25">
      <c r="A6" s="22" t="s">
        <v>27</v>
      </c>
      <c r="B6" s="19">
        <v>7</v>
      </c>
      <c r="C6" s="13">
        <f>COUNTIF(Checklist!D18:D24,"Pendiente")</f>
        <v>7</v>
      </c>
      <c r="D6" s="13">
        <f>COUNTIF(Checklist!D18:D24,"En progreso")</f>
        <v>0</v>
      </c>
      <c r="E6" s="13">
        <f>COUNTIF(Checklist!D18:D24,"Completada")</f>
        <v>0</v>
      </c>
      <c r="F6" s="13">
        <f>COUNTIF(Checklist!D18:D24,"No aplica")</f>
        <v>0</v>
      </c>
    </row>
    <row r="7" spans="1:6" ht="21.75" customHeight="1" x14ac:dyDescent="0.25">
      <c r="A7" s="23" t="s">
        <v>35</v>
      </c>
      <c r="B7" s="21">
        <v>7</v>
      </c>
      <c r="C7" s="16">
        <f>COUNTIF(Checklist!D25:D31,"Pendiente")</f>
        <v>7</v>
      </c>
      <c r="D7" s="16">
        <f>COUNTIF(Checklist!D25:D31,"En progreso")</f>
        <v>0</v>
      </c>
      <c r="E7" s="16">
        <f>COUNTIF(Checklist!D25:D31,"Completada")</f>
        <v>0</v>
      </c>
      <c r="F7" s="16">
        <f>COUNTIF(Checklist!D25:D31,"No aplica")</f>
        <v>0</v>
      </c>
    </row>
    <row r="8" spans="1:6" ht="21.75" customHeight="1" x14ac:dyDescent="0.25">
      <c r="A8" s="24" t="s">
        <v>49</v>
      </c>
      <c r="B8" s="17">
        <f>SUM(B4:B7)</f>
        <v>28</v>
      </c>
      <c r="C8" s="17">
        <f>SUM(C4:C7)</f>
        <v>28</v>
      </c>
      <c r="D8" s="17">
        <f>SUM(D4:D7)</f>
        <v>0</v>
      </c>
      <c r="E8" s="17">
        <f>SUM(E4:E7)</f>
        <v>0</v>
      </c>
      <c r="F8" s="17">
        <f>SUM(F4:F7)</f>
        <v>0</v>
      </c>
    </row>
    <row r="10" spans="1:6" ht="27.75" customHeight="1" x14ac:dyDescent="0.25">
      <c r="A10" s="1" t="s">
        <v>50</v>
      </c>
      <c r="B10" s="1"/>
      <c r="C10" s="1"/>
      <c r="D10" s="1"/>
      <c r="E10" s="1"/>
      <c r="F10" s="1"/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2026-06-06T21:14:48Z</dcterms:created>
  <dcterms:modified xsi:type="dcterms:W3CDTF">2026-06-10T20:48:17Z</dcterms:modified>
  <dc:language>en-US</dc:language>
</cp:coreProperties>
</file>