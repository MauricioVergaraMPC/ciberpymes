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openitsoft-my.sharepoint.com/personal/mvergara_openitnet_com/Documents/Desktop/"/>
    </mc:Choice>
  </mc:AlternateContent>
  <xr:revisionPtr revIDLastSave="1" documentId="11_EB95C94AA7A058671F778A0AE83E1599869FFADD" xr6:coauthVersionLast="47" xr6:coauthVersionMax="47" xr10:uidLastSave="{174F77D6-E3BF-42DA-B599-08DEBC459A87}"/>
  <bookViews>
    <workbookView xWindow="28680" yWindow="-120" windowWidth="29040" windowHeight="16440" tabRatio="500" xr2:uid="{00000000-000D-0000-FFFF-FFFF00000000}"/>
  </bookViews>
  <sheets>
    <sheet name="KRI Correo" sheetId="1" r:id="rId1"/>
    <sheet name="Dashboard" sheetId="2" r:id="rId2"/>
    <sheet name="Instructivo"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7" i="2" l="1"/>
  <c r="C16" i="2"/>
  <c r="C15" i="2"/>
  <c r="G12" i="2"/>
  <c r="F12" i="2"/>
  <c r="E12" i="2"/>
  <c r="D12" i="2"/>
  <c r="C12" i="2"/>
  <c r="B12" i="2"/>
  <c r="G11" i="2"/>
  <c r="F11" i="2"/>
  <c r="E11" i="2"/>
  <c r="D11" i="2"/>
  <c r="C11" i="2"/>
  <c r="B11" i="2"/>
  <c r="G10" i="2"/>
  <c r="F10" i="2"/>
  <c r="E10" i="2"/>
  <c r="D10" i="2"/>
  <c r="C10" i="2"/>
  <c r="B10" i="2"/>
  <c r="G9" i="2"/>
  <c r="F9" i="2"/>
  <c r="E9" i="2"/>
  <c r="D9" i="2"/>
  <c r="C9" i="2"/>
  <c r="B9" i="2"/>
  <c r="G8" i="2"/>
  <c r="F8" i="2"/>
  <c r="E8" i="2"/>
  <c r="D8" i="2"/>
  <c r="C8" i="2"/>
  <c r="B8" i="2"/>
  <c r="G7" i="2"/>
  <c r="F7" i="2"/>
  <c r="E7" i="2"/>
  <c r="D7" i="2"/>
  <c r="C7" i="2"/>
  <c r="B7" i="2"/>
  <c r="G6" i="2"/>
  <c r="F6" i="2"/>
  <c r="E6" i="2"/>
  <c r="D6" i="2"/>
  <c r="C6" i="2"/>
  <c r="B6" i="2"/>
</calcChain>
</file>

<file path=xl/sharedStrings.xml><?xml version="1.0" encoding="utf-8"?>
<sst xmlns="http://schemas.openxmlformats.org/spreadsheetml/2006/main" count="123" uniqueCount="98">
  <si>
    <t>CIBERPROTECCIÓN PARA PyMES  ·  Indicadores Clave de Riesgo — Correo Electrónico</t>
  </si>
  <si>
    <t>Capítulo 6  ·  Plantilla 6.3  ·  KRI-CE-01 a KRI-CE-07</t>
  </si>
  <si>
    <t>Instrucciones: Complete los campos en color blanco. Los campos sombreados son de referencia. Actualice el estado y la fecha de cada medición al finalizar cada período de revisión.</t>
  </si>
  <si>
    <t>ID KRI</t>
  </si>
  <si>
    <t>Nombre</t>
  </si>
  <si>
    <t>Descripción</t>
  </si>
  <si>
    <t>Métrica / Fórmula de cálculo</t>
  </si>
  <si>
    <t>Umbral Verde</t>
  </si>
  <si>
    <t>Umbral Ámbar</t>
  </si>
  <si>
    <t>Umbral Rojo</t>
  </si>
  <si>
    <t>Frecuencia</t>
  </si>
  <si>
    <t>Responsable</t>
  </si>
  <si>
    <t>Fuente de datos</t>
  </si>
  <si>
    <t>Valor medido</t>
  </si>
  <si>
    <t>Estado</t>
  </si>
  <si>
    <t>Fecha medición</t>
  </si>
  <si>
    <t>KRI-CE-01</t>
  </si>
  <si>
    <t>Cobertura de MFA en buzones</t>
  </si>
  <si>
    <t>Porcentaje de buzones activos con autenticación multifactorial habilitada. Un valor bajo indica exposición directa a ataques de credenciales.</t>
  </si>
  <si>
    <t>% buzones con MFA activo / total buzones activos × 100</t>
  </si>
  <si>
    <t>≥ 95%</t>
  </si>
  <si>
    <t>80% – 94%</t>
  </si>
  <si>
    <t>&lt; 80%</t>
  </si>
  <si>
    <t>Mensual</t>
  </si>
  <si>
    <t>Administrador de TI</t>
  </si>
  <si>
    <t>Reporte de seguridad del tenant (Microsoft 365 Secure Score / Google Workspace Security Dashboard)</t>
  </si>
  <si>
    <t>Sin datos</t>
  </si>
  <si>
    <t>KRI-CE-02</t>
  </si>
  <si>
    <t>Buzones sin propietario asignado</t>
  </si>
  <si>
    <t>Número de buzones compartidos o funcionales activos sin un propietario formalmente designado en el inventario. Un buzón sin propietario no tiene responsable de sus decisiones de acceso ni de su contenido.</t>
  </si>
  <si>
    <t>Cantidad absoluta de buzones compartidos/funcionales sin propietario en inventario</t>
  </si>
  <si>
    <t>0</t>
  </si>
  <si>
    <t>1 – 2</t>
  </si>
  <si>
    <t>≥ 3</t>
  </si>
  <si>
    <t>Inventario de buzones (Plantilla 6.2)</t>
  </si>
  <si>
    <t>KRI-CE-03</t>
  </si>
  <si>
    <t>Intentos fallidos de inicio de sesión en buzones ejecutivos</t>
  </si>
  <si>
    <t>Número de intentos de autenticación fallidos sobre buzones de nivel ejecutivo o financiero en el período de revisión. Valores elevados pueden indicar un ataque de fuerza bruta o credential stuffing dirigido.</t>
  </si>
  <si>
    <t>Cantidad de intentos fallidos registrados en logs de autenticación sobre buzones ejecutivos</t>
  </si>
  <si>
    <t>&lt; 10</t>
  </si>
  <si>
    <t>10 – 29</t>
  </si>
  <si>
    <t>≥ 30</t>
  </si>
  <si>
    <t>Semanal</t>
  </si>
  <si>
    <t>Registros de auditoría del tenant (Admin Center &gt; Reports &gt; Audit log / Google Workspace Admin &gt; Reports &gt; Audit)</t>
  </si>
  <si>
    <t>KRI-CE-04</t>
  </si>
  <si>
    <t>Variación del Score de Seguridad del tenant</t>
  </si>
  <si>
    <t>Diferencia en puntos porcentuales entre el Score de Seguridad actual y el del período anterior. Una disminución sostenida indica degradación en los controles de seguridad configurados.</t>
  </si>
  <si>
    <t>Score actual (%) – Score período anterior (%). Valor negativo = deterioro.</t>
  </si>
  <si>
    <t>Δ ≥ 0 (estable o mejora)</t>
  </si>
  <si>
    <t>Δ entre -5% y -1%</t>
  </si>
  <si>
    <t>Δ &lt; -5%</t>
  </si>
  <si>
    <t>Microsoft Secure Score (security.microsoft.com) / Google Workspace Security Health</t>
  </si>
  <si>
    <t>KRI-CE-05</t>
  </si>
  <si>
    <t>Dominio en listas negras de reputación</t>
  </si>
  <si>
    <t>Detección del dominio corporativo en listas negras públicas de correo (RBL/DNSBL). Un dominio en lista negra provoca que los mensajes salientes sean rechazados o marcados como spam por los servidores de destino.</t>
  </si>
  <si>
    <t>Número de listas negras públicas que contienen el dominio corporativo</t>
  </si>
  <si>
    <t>1</t>
  </si>
  <si>
    <t>≥ 2</t>
  </si>
  <si>
    <t>MXToolbox Blacklist Check (mxtoolbox.com/blacklists.aspx) / Mail Tester</t>
  </si>
  <si>
    <t>KRI-CE-06</t>
  </si>
  <si>
    <t>Buzones desactivados con licencia activa</t>
  </si>
  <si>
    <t>Número de buzones en estado desactivado que mantienen una licencia activa asignada. Representa un costo innecesario y una superficie de ataque potencial si la desactivación no fue completa.</t>
  </si>
  <si>
    <t>Cantidad de buzones en estado desactivado con licencia activa según inventario</t>
  </si>
  <si>
    <t>Inventario de buzones (Plantilla 6.2) / Reporte de licencias del tenant</t>
  </si>
  <si>
    <t>KRI-CE-07</t>
  </si>
  <si>
    <t>Reglas de reenvío externo detectadas</t>
  </si>
  <si>
    <t>Número de buzones con reglas de reenvío automático configuradas hacia dominios externos. Esta técnica es uno de los métodos más frecuentes de exfiltración silenciosa de correo tras un compromiso de cuenta.</t>
  </si>
  <si>
    <t>Cantidad de buzones con reglas de reenvío activas hacia dominios distintos al corporativo</t>
  </si>
  <si>
    <t>1 (autorizada y documentada)</t>
  </si>
  <si>
    <t>≥ 1 no autorizada</t>
  </si>
  <si>
    <t>Exchange Admin Center &gt; Mail flow &gt; Rules / Google Workspace Admin &gt; Apps &gt; Gmail &gt; Routing</t>
  </si>
  <si>
    <t>DASHBOARD — Indicadores Clave de Riesgo · Correo Electrónico</t>
  </si>
  <si>
    <t>Capítulo 6  ·  Ciberprotección para PyMES  ·  Plantilla 6.3</t>
  </si>
  <si>
    <t>ID</t>
  </si>
  <si>
    <t>Nombre del KRI</t>
  </si>
  <si>
    <t>Estado actual</t>
  </si>
  <si>
    <t>Resumen de estado</t>
  </si>
  <si>
    <t>En verde</t>
  </si>
  <si>
    <t>En ámbar</t>
  </si>
  <si>
    <t>En rojo</t>
  </si>
  <si>
    <t>INSTRUCTIVO DE USO — KRI Correo Electrónico</t>
  </si>
  <si>
    <t>Ciberprotección para PyMES  ·  Plantilla 6.3</t>
  </si>
  <si>
    <t>¿Qué es un KRI?</t>
  </si>
  <si>
    <t>Un KRI (Key Risk Indicator, o Indicador Clave de Riesgo) es una métrica que mide la exposición de un sistema a un riesgo específico. A diferencia de los KPI (que miden rendimiento), los KRI miden nivel de riesgo. Un KRI en umbral rojo no significa que el incidente ya ocurrió, sino que las condiciones están deterioradas y el riesgo de que ocurra es elevado.</t>
  </si>
  <si>
    <t>¿Con qué frecuencia debo usarlo?</t>
  </si>
  <si>
    <t>Cada KRI tiene una frecuencia de revisión definida (semanal o mensual). Utilice esta hoja como agenda de revisión: al inicio de cada semana revise los KRI semanales; al cierre de cada mes, los mensuales. Registre el valor medido, el estado resultante y la fecha de medición en las columnas correspondientes de la hoja "KRI Correo".</t>
  </si>
  <si>
    <t>¿Cómo interpreto los umbrales?</t>
  </si>
  <si>
    <t>Verde: el indicador está dentro del rango aceptable. No se requiere acción inmediata, solo monitoreo continuo. / Ámbar: el indicador muestra una desviación que debe ser investigada. Documente la causa y establezca un plan de acción con fecha de cierre. / Rojo: el indicador está fuera del rango aceptable. Requiere acción correctiva inmediata y escalamiento al responsable de TI o a la gerencia según corresponda.</t>
  </si>
  <si>
    <t>¿Cómo completo la hoja KRI Correo?</t>
  </si>
  <si>
    <t>Los campos editables son los tres de la derecha: "Valor medido" (ingrese el número o porcentaje obtenido en la medición), "Estado" (seleccione Verde, Ámbar o Rojo usando el menú desplegable), y "Fecha medición" (ingrese la fecha en formato DD/MM/AAAA). Los demás campos son de referencia y no deben modificarse salvo actualización formal de la política.</t>
  </si>
  <si>
    <t>¿Qué hago si un KRI está en Rojo?</t>
  </si>
  <si>
    <t>Documente el valor medido y la fecha. Identifique la causa raíz (¿es un evento puntual o una tendencia sostenida?). Registre un ticket en el sistema ITSM con el detalle del hallazgo. Ejecute la acción correctiva correspondiente según el KRI: por ejemplo, si KRI-CE-01 (cobertura MFA) está en rojo, habilite MFA en los buzones faltantes de forma inmediata. Revalúe el indicador dentro de los 7 días siguientes para confirmar la mejora.</t>
  </si>
  <si>
    <t>¿Qué es el Score de Seguridad (KRI-CE-04)?</t>
  </si>
  <si>
    <t>El Score de Seguridad es un indicador calculado automáticamente por la plataforma de correo (Microsoft Secure Score o Google Workspace Security Health) que refleja el porcentaje de controles de seguridad recomendados que están activos en el tenant. Para medir la variación mensual, registre el score actual y réstele el score del mes anterior. Un valor negativo indica deterioro: algún control fue deshabilitado o una nueva recomendación fue identificada y aún no implementada.</t>
  </si>
  <si>
    <t>¿Cómo identifico reglas de reenvío externo (KRI-CE-07)?</t>
  </si>
  <si>
    <t>En Microsoft 365: acceda a Exchange Admin Center &gt; Mail flow &gt; Rules y filtre por reglas que incluyan la acción "Redirect the message" o "Forward". También puede revisar en el reporte de usuarios: Admin Center &gt; Reports &gt; Email activity. En Google Workspace: Workspace Admin &gt; Apps &gt; Gmail &gt; Routing &gt; Outbound gateway y revise las reglas de enrutamiento activas. Cualquier regla que envíe mensajes fuera del dominio corporativo sin estar documentada y autorizada debe considerarse una anomalía.</t>
  </si>
  <si>
    <t>Historial de versiones</t>
  </si>
  <si>
    <t>Versión 1.0 — Emisión inicial. Actualice este campo cada vez que se modifiquen umbrales, se agreguen KRIs o se cambie la frecuencia de revisión de algún indicador.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</si>
</sst>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charset val="1"/>
    </font>
    <font>
      <b/>
      <sz val="13"/>
      <color rgb="FFFFFFFF"/>
      <name val="Calibri"/>
      <charset val="1"/>
    </font>
    <font>
      <b/>
      <sz val="11"/>
      <color rgb="FFFFFFFF"/>
      <name val="Calibri"/>
      <charset val="1"/>
    </font>
    <font>
      <i/>
      <sz val="9"/>
      <color rgb="FF0F3F6E"/>
      <name val="Calibri"/>
      <charset val="1"/>
    </font>
    <font>
      <b/>
      <sz val="10"/>
      <color rgb="FFFFFFFF"/>
      <name val="Calibri"/>
      <charset val="1"/>
    </font>
    <font>
      <b/>
      <sz val="10"/>
      <color rgb="FF185FA5"/>
      <name val="Calibri"/>
      <charset val="1"/>
    </font>
    <font>
      <b/>
      <sz val="10"/>
      <color rgb="FF000000"/>
      <name val="Calibri"/>
      <charset val="1"/>
    </font>
    <font>
      <sz val="9"/>
      <color rgb="FF000000"/>
      <name val="Calibri"/>
      <charset val="1"/>
    </font>
    <font>
      <sz val="9"/>
      <color rgb="FF3B6D11"/>
      <name val="Calibri"/>
      <charset val="1"/>
    </font>
    <font>
      <sz val="9"/>
      <color rgb="FFBA7517"/>
      <name val="Calibri"/>
      <charset val="1"/>
    </font>
    <font>
      <sz val="9"/>
      <color rgb="FFA32D2D"/>
      <name val="Calibri"/>
      <charset val="1"/>
    </font>
    <font>
      <i/>
      <sz val="8"/>
      <color rgb="FF555555"/>
      <name val="Calibri"/>
      <charset val="1"/>
    </font>
    <font>
      <sz val="10"/>
      <color rgb="FF000000"/>
      <name val="Calibri"/>
      <charset val="1"/>
    </font>
    <font>
      <sz val="9"/>
      <color rgb="FF555555"/>
      <name val="Calibri"/>
      <charset val="1"/>
    </font>
    <font>
      <b/>
      <sz val="14"/>
      <color rgb="FFFFFFFF"/>
      <name val="Calibri"/>
      <charset val="1"/>
    </font>
    <font>
      <i/>
      <sz val="10"/>
      <color rgb="FFFFFFFF"/>
      <name val="Calibri"/>
      <charset val="1"/>
    </font>
    <font>
      <b/>
      <sz val="9"/>
      <color rgb="FF555555"/>
      <name val="Calibri"/>
      <charset val="1"/>
    </font>
    <font>
      <sz val="10"/>
      <color rgb="FF3B6D11"/>
      <name val="Calibri"/>
      <charset val="1"/>
    </font>
    <font>
      <b/>
      <sz val="11"/>
      <color rgb="FF3B6D11"/>
      <name val="Calibri"/>
      <charset val="1"/>
    </font>
    <font>
      <sz val="10"/>
      <color rgb="FFBA7517"/>
      <name val="Calibri"/>
      <charset val="1"/>
    </font>
    <font>
      <b/>
      <sz val="11"/>
      <color rgb="FFBA7517"/>
      <name val="Calibri"/>
      <charset val="1"/>
    </font>
    <font>
      <sz val="10"/>
      <color rgb="FFA32D2D"/>
      <name val="Calibri"/>
      <charset val="1"/>
    </font>
    <font>
      <b/>
      <sz val="11"/>
      <color rgb="FFA32D2D"/>
      <name val="Calibri"/>
      <charset val="1"/>
    </font>
    <font>
      <sz val="10"/>
      <color rgb="FFFFFFFF"/>
      <name val="Calibri"/>
      <charset val="1"/>
    </font>
  </fonts>
  <fills count="10">
    <fill>
      <patternFill patternType="none"/>
    </fill>
    <fill>
      <patternFill patternType="gray125"/>
    </fill>
    <fill>
      <patternFill patternType="solid">
        <fgColor rgb="FF0F3F6E"/>
        <bgColor rgb="FF333399"/>
      </patternFill>
    </fill>
    <fill>
      <patternFill patternType="solid">
        <fgColor rgb="FF185FA5"/>
        <bgColor rgb="FF0F3F6E"/>
      </patternFill>
    </fill>
    <fill>
      <patternFill patternType="solid">
        <fgColor rgb="FFD6E4F0"/>
        <bgColor rgb="FFEAF2E3"/>
      </patternFill>
    </fill>
    <fill>
      <patternFill patternType="solid">
        <fgColor rgb="FFFFFFFF"/>
        <bgColor rgb="FFF5F5F2"/>
      </patternFill>
    </fill>
    <fill>
      <patternFill patternType="solid">
        <fgColor rgb="FFEAF2E3"/>
        <bgColor rgb="FFF5F5F2"/>
      </patternFill>
    </fill>
    <fill>
      <patternFill patternType="solid">
        <fgColor rgb="FFFDF3E3"/>
        <bgColor rgb="FFFAECEC"/>
      </patternFill>
    </fill>
    <fill>
      <patternFill patternType="solid">
        <fgColor rgb="FFFAECEC"/>
        <bgColor rgb="FFFDF3E3"/>
      </patternFill>
    </fill>
    <fill>
      <patternFill patternType="solid">
        <fgColor rgb="FFF5F5F2"/>
        <bgColor rgb="FFFDF3E3"/>
      </patternFill>
    </fill>
  </fills>
  <borders count="3">
    <border>
      <left/>
      <right/>
      <top/>
      <bottom/>
      <diagonal/>
    </border>
    <border>
      <left style="thin">
        <color rgb="FFD3D1C7"/>
      </left>
      <right/>
      <top style="thin">
        <color rgb="FFD3D1C7"/>
      </top>
      <bottom style="thin">
        <color rgb="FFD3D1C7"/>
      </bottom>
      <diagonal/>
    </border>
    <border>
      <left style="thin">
        <color rgb="FFD3D1C7"/>
      </left>
      <right style="thin">
        <color rgb="FFD3D1C7"/>
      </right>
      <top style="thin">
        <color rgb="FFD3D1C7"/>
      </top>
      <bottom style="thin">
        <color rgb="FFD3D1C7"/>
      </bottom>
      <diagonal/>
    </border>
  </borders>
  <cellStyleXfs count="1">
    <xf numFmtId="0" fontId="0" fillId="0" borderId="0"/>
  </cellStyleXfs>
  <cellXfs count="36">
    <xf numFmtId="0" fontId="0" fillId="0" borderId="0" xfId="0"/>
    <xf numFmtId="0" fontId="12" fillId="9" borderId="1" xfId="0" applyFont="1" applyFill="1" applyBorder="1" applyAlignment="1">
      <alignment horizontal="left" vertical="center" wrapText="1"/>
    </xf>
    <xf numFmtId="0" fontId="12" fillId="5"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15" fillId="3"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2" fillId="3"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6" fillId="5" borderId="2" xfId="0" applyFont="1" applyFill="1" applyBorder="1" applyAlignment="1">
      <alignment horizontal="left" vertical="center" wrapText="1"/>
    </xf>
    <xf numFmtId="0" fontId="7" fillId="5" borderId="2" xfId="0" applyFont="1" applyFill="1" applyBorder="1" applyAlignment="1">
      <alignment horizontal="left" vertical="center" wrapText="1"/>
    </xf>
    <xf numFmtId="0" fontId="8" fillId="6" borderId="2" xfId="0" applyFont="1" applyFill="1" applyBorder="1" applyAlignment="1">
      <alignment horizontal="center" vertical="center" wrapText="1"/>
    </xf>
    <xf numFmtId="0" fontId="9" fillId="7" borderId="2" xfId="0" applyFont="1" applyFill="1" applyBorder="1" applyAlignment="1">
      <alignment horizontal="center" vertical="center" wrapText="1"/>
    </xf>
    <xf numFmtId="0" fontId="10" fillId="8" borderId="2"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center" vertical="center" wrapText="1"/>
    </xf>
    <xf numFmtId="0" fontId="13" fillId="5" borderId="2" xfId="0" applyFont="1" applyFill="1" applyBorder="1" applyAlignment="1">
      <alignment horizontal="center" vertical="center" wrapText="1"/>
    </xf>
    <xf numFmtId="0" fontId="5" fillId="9" borderId="2" xfId="0" applyFont="1" applyFill="1" applyBorder="1" applyAlignment="1">
      <alignment horizontal="center" vertical="center" wrapText="1"/>
    </xf>
    <xf numFmtId="0" fontId="6" fillId="9" borderId="2" xfId="0" applyFont="1" applyFill="1" applyBorder="1" applyAlignment="1">
      <alignment horizontal="left" vertical="center" wrapText="1"/>
    </xf>
    <xf numFmtId="0" fontId="7" fillId="9" borderId="2" xfId="0" applyFont="1" applyFill="1" applyBorder="1" applyAlignment="1">
      <alignment horizontal="left" vertical="center" wrapText="1"/>
    </xf>
    <xf numFmtId="0" fontId="7" fillId="9" borderId="2" xfId="0" applyFont="1" applyFill="1" applyBorder="1" applyAlignment="1">
      <alignment horizontal="center" vertical="center" wrapText="1"/>
    </xf>
    <xf numFmtId="0" fontId="11" fillId="9"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6" fillId="5" borderId="2" xfId="0" applyFont="1" applyFill="1" applyBorder="1" applyAlignment="1">
      <alignment horizontal="center" vertical="center" wrapText="1"/>
    </xf>
    <xf numFmtId="0" fontId="12" fillId="9" borderId="2" xfId="0" applyFont="1" applyFill="1" applyBorder="1" applyAlignment="1">
      <alignment horizontal="left" vertical="center" wrapText="1"/>
    </xf>
    <xf numFmtId="0" fontId="17" fillId="6" borderId="2" xfId="0" applyFont="1" applyFill="1" applyBorder="1" applyAlignment="1">
      <alignment horizontal="left" vertical="center" wrapText="1"/>
    </xf>
    <xf numFmtId="0" fontId="18" fillId="6" borderId="2" xfId="0" applyFont="1" applyFill="1" applyBorder="1" applyAlignment="1">
      <alignment horizontal="center" vertical="center" wrapText="1"/>
    </xf>
    <xf numFmtId="0" fontId="19" fillId="7" borderId="2" xfId="0" applyFont="1" applyFill="1" applyBorder="1" applyAlignment="1">
      <alignment horizontal="left" vertical="center" wrapText="1"/>
    </xf>
    <xf numFmtId="0" fontId="20" fillId="7" borderId="2" xfId="0" applyFont="1" applyFill="1" applyBorder="1" applyAlignment="1">
      <alignment horizontal="center" vertical="center" wrapText="1"/>
    </xf>
    <xf numFmtId="0" fontId="21" fillId="8" borderId="2" xfId="0" applyFont="1" applyFill="1" applyBorder="1" applyAlignment="1">
      <alignment horizontal="left" vertical="center" wrapText="1"/>
    </xf>
    <xf numFmtId="0" fontId="22" fillId="8" borderId="2" xfId="0" applyFont="1" applyFill="1" applyBorder="1" applyAlignment="1">
      <alignment horizontal="center" vertical="center" wrapText="1"/>
    </xf>
    <xf numFmtId="0" fontId="4" fillId="3" borderId="2" xfId="0" applyFont="1" applyFill="1" applyBorder="1" applyAlignment="1">
      <alignment horizontal="left" vertical="center" wrapText="1"/>
    </xf>
    <xf numFmtId="0" fontId="23" fillId="3" borderId="2" xfId="0" applyFont="1" applyFill="1" applyBorder="1" applyAlignment="1">
      <alignment horizontal="left" vertical="center" wrapText="1"/>
    </xf>
  </cellXfs>
  <cellStyles count="1">
    <cellStyle name="Normal" xfId="0" builtinId="0"/>
  </cellStyles>
  <dxfs count="6">
    <dxf>
      <font>
        <b/>
        <sz val="9"/>
        <color rgb="FFA32D2D"/>
        <name val="Calibri"/>
        <charset val="1"/>
      </font>
      <fill>
        <patternFill>
          <bgColor rgb="FFFAECEC"/>
        </patternFill>
      </fill>
    </dxf>
    <dxf>
      <font>
        <b/>
        <sz val="9"/>
        <color rgb="FFBA7517"/>
        <name val="Calibri"/>
        <charset val="1"/>
      </font>
      <fill>
        <patternFill>
          <bgColor rgb="FFFDF3E3"/>
        </patternFill>
      </fill>
    </dxf>
    <dxf>
      <font>
        <b/>
        <sz val="9"/>
        <color rgb="FF3B6D11"/>
        <name val="Calibri"/>
        <charset val="1"/>
      </font>
      <fill>
        <patternFill>
          <bgColor rgb="FFEAF2E3"/>
        </patternFill>
      </fill>
    </dxf>
    <dxf>
      <font>
        <b/>
        <sz val="9"/>
        <color rgb="FFA32D2D"/>
        <name val="Calibri"/>
        <charset val="1"/>
      </font>
      <fill>
        <patternFill>
          <bgColor rgb="FFFAECEC"/>
        </patternFill>
      </fill>
    </dxf>
    <dxf>
      <font>
        <b/>
        <sz val="9"/>
        <color rgb="FFBA7517"/>
        <name val="Calibri"/>
        <charset val="1"/>
      </font>
      <fill>
        <patternFill>
          <bgColor rgb="FFFDF3E3"/>
        </patternFill>
      </fill>
    </dxf>
    <dxf>
      <font>
        <b/>
        <sz val="9"/>
        <color rgb="FF3B6D11"/>
        <name val="Calibri"/>
        <charset val="1"/>
      </font>
      <fill>
        <patternFill>
          <bgColor rgb="FFEAF2E3"/>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3B6D11"/>
      <rgbColor rgb="FF000080"/>
      <rgbColor rgb="FFBA7517"/>
      <rgbColor rgb="FF800080"/>
      <rgbColor rgb="FF008080"/>
      <rgbColor rgb="FFD3D1C7"/>
      <rgbColor rgb="FF808080"/>
      <rgbColor rgb="FF9999FF"/>
      <rgbColor rgb="FF993366"/>
      <rgbColor rgb="FFFDF3E3"/>
      <rgbColor rgb="FFF5F5F2"/>
      <rgbColor rgb="FF660066"/>
      <rgbColor rgb="FFFF8080"/>
      <rgbColor rgb="FF185FA5"/>
      <rgbColor rgb="FFD6E4F0"/>
      <rgbColor rgb="FF000080"/>
      <rgbColor rgb="FFFF00FF"/>
      <rgbColor rgb="FFFFFF00"/>
      <rgbColor rgb="FF00FFFF"/>
      <rgbColor rgb="FF800080"/>
      <rgbColor rgb="FF800000"/>
      <rgbColor rgb="FF008080"/>
      <rgbColor rgb="FF0000FF"/>
      <rgbColor rgb="FF00CCFF"/>
      <rgbColor rgb="FFFAECEC"/>
      <rgbColor rgb="FFEAF2E3"/>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F3F6E"/>
      <rgbColor rgb="FF339966"/>
      <rgbColor rgb="FF003300"/>
      <rgbColor rgb="FF333300"/>
      <rgbColor rgb="FFA32D2D"/>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
  <sheetViews>
    <sheetView tabSelected="1" zoomScaleNormal="100" workbookViewId="0">
      <pane ySplit="4" topLeftCell="A5" activePane="bottomLeft" state="frozen"/>
      <selection pane="bottomLeft" sqref="A1:M1"/>
    </sheetView>
  </sheetViews>
  <sheetFormatPr baseColWidth="10" defaultColWidth="8.7109375" defaultRowHeight="15" x14ac:dyDescent="0.25"/>
  <cols>
    <col min="1" max="1" width="12" customWidth="1"/>
    <col min="2" max="2" width="30" customWidth="1"/>
    <col min="3" max="3" width="45" customWidth="1"/>
    <col min="4" max="4" width="38" customWidth="1"/>
    <col min="5" max="7" width="14" customWidth="1"/>
    <col min="8" max="8" width="12" customWidth="1"/>
    <col min="9" max="9" width="22" customWidth="1"/>
    <col min="10" max="10" width="40" customWidth="1"/>
    <col min="11" max="11" width="20" customWidth="1"/>
    <col min="12" max="13" width="18" customWidth="1"/>
  </cols>
  <sheetData>
    <row r="1" spans="1:13" ht="21.75" customHeight="1" x14ac:dyDescent="0.25">
      <c r="A1" s="8" t="s">
        <v>0</v>
      </c>
      <c r="B1" s="8"/>
      <c r="C1" s="8"/>
      <c r="D1" s="8"/>
      <c r="E1" s="8"/>
      <c r="F1" s="8"/>
      <c r="G1" s="8"/>
      <c r="H1" s="8"/>
      <c r="I1" s="8"/>
      <c r="J1" s="8"/>
      <c r="K1" s="8"/>
      <c r="L1" s="8"/>
      <c r="M1" s="8"/>
    </row>
    <row r="2" spans="1:13" ht="18" customHeight="1" x14ac:dyDescent="0.25">
      <c r="A2" s="7" t="s">
        <v>1</v>
      </c>
      <c r="B2" s="7"/>
      <c r="C2" s="7"/>
      <c r="D2" s="7"/>
      <c r="E2" s="7"/>
      <c r="F2" s="7"/>
      <c r="G2" s="7"/>
      <c r="H2" s="7"/>
      <c r="I2" s="7"/>
      <c r="J2" s="7"/>
      <c r="K2" s="7"/>
      <c r="L2" s="7"/>
      <c r="M2" s="7"/>
    </row>
    <row r="3" spans="1:13" ht="13.5" customHeight="1" x14ac:dyDescent="0.25">
      <c r="A3" s="6" t="s">
        <v>2</v>
      </c>
      <c r="B3" s="6"/>
      <c r="C3" s="6"/>
      <c r="D3" s="6"/>
      <c r="E3" s="6"/>
      <c r="F3" s="6"/>
      <c r="G3" s="6"/>
      <c r="H3" s="6"/>
      <c r="I3" s="6"/>
      <c r="J3" s="6"/>
      <c r="K3" s="6"/>
      <c r="L3" s="6"/>
      <c r="M3" s="6"/>
    </row>
    <row r="4" spans="1:13" ht="36" customHeight="1" x14ac:dyDescent="0.25">
      <c r="A4" s="9" t="s">
        <v>3</v>
      </c>
      <c r="B4" s="9" t="s">
        <v>4</v>
      </c>
      <c r="C4" s="9" t="s">
        <v>5</v>
      </c>
      <c r="D4" s="9" t="s">
        <v>6</v>
      </c>
      <c r="E4" s="9" t="s">
        <v>7</v>
      </c>
      <c r="F4" s="9" t="s">
        <v>8</v>
      </c>
      <c r="G4" s="9" t="s">
        <v>9</v>
      </c>
      <c r="H4" s="9" t="s">
        <v>10</v>
      </c>
      <c r="I4" s="9" t="s">
        <v>11</v>
      </c>
      <c r="J4" s="9" t="s">
        <v>12</v>
      </c>
      <c r="K4" s="9" t="s">
        <v>13</v>
      </c>
      <c r="L4" s="9" t="s">
        <v>14</v>
      </c>
      <c r="M4" s="9" t="s">
        <v>15</v>
      </c>
    </row>
    <row r="5" spans="1:13" ht="60" customHeight="1" x14ac:dyDescent="0.25">
      <c r="A5" s="10" t="s">
        <v>16</v>
      </c>
      <c r="B5" s="11" t="s">
        <v>17</v>
      </c>
      <c r="C5" s="12" t="s">
        <v>18</v>
      </c>
      <c r="D5" s="12" t="s">
        <v>19</v>
      </c>
      <c r="E5" s="13" t="s">
        <v>20</v>
      </c>
      <c r="F5" s="14" t="s">
        <v>21</v>
      </c>
      <c r="G5" s="15" t="s">
        <v>22</v>
      </c>
      <c r="H5" s="16" t="s">
        <v>23</v>
      </c>
      <c r="I5" s="12" t="s">
        <v>24</v>
      </c>
      <c r="J5" s="17" t="s">
        <v>25</v>
      </c>
      <c r="K5" s="18"/>
      <c r="L5" s="19" t="s">
        <v>26</v>
      </c>
      <c r="M5" s="16"/>
    </row>
    <row r="6" spans="1:13" ht="60" customHeight="1" x14ac:dyDescent="0.25">
      <c r="A6" s="20" t="s">
        <v>27</v>
      </c>
      <c r="B6" s="21" t="s">
        <v>28</v>
      </c>
      <c r="C6" s="22" t="s">
        <v>29</v>
      </c>
      <c r="D6" s="22" t="s">
        <v>30</v>
      </c>
      <c r="E6" s="13" t="s">
        <v>31</v>
      </c>
      <c r="F6" s="14" t="s">
        <v>32</v>
      </c>
      <c r="G6" s="15" t="s">
        <v>33</v>
      </c>
      <c r="H6" s="23" t="s">
        <v>23</v>
      </c>
      <c r="I6" s="22" t="s">
        <v>24</v>
      </c>
      <c r="J6" s="24" t="s">
        <v>34</v>
      </c>
      <c r="K6" s="18"/>
      <c r="L6" s="19" t="s">
        <v>26</v>
      </c>
      <c r="M6" s="16"/>
    </row>
    <row r="7" spans="1:13" ht="60" customHeight="1" x14ac:dyDescent="0.25">
      <c r="A7" s="10" t="s">
        <v>35</v>
      </c>
      <c r="B7" s="11" t="s">
        <v>36</v>
      </c>
      <c r="C7" s="12" t="s">
        <v>37</v>
      </c>
      <c r="D7" s="12" t="s">
        <v>38</v>
      </c>
      <c r="E7" s="13" t="s">
        <v>39</v>
      </c>
      <c r="F7" s="14" t="s">
        <v>40</v>
      </c>
      <c r="G7" s="15" t="s">
        <v>41</v>
      </c>
      <c r="H7" s="16" t="s">
        <v>42</v>
      </c>
      <c r="I7" s="12" t="s">
        <v>24</v>
      </c>
      <c r="J7" s="17" t="s">
        <v>43</v>
      </c>
      <c r="K7" s="18"/>
      <c r="L7" s="19" t="s">
        <v>26</v>
      </c>
      <c r="M7" s="16"/>
    </row>
    <row r="8" spans="1:13" ht="60" customHeight="1" x14ac:dyDescent="0.25">
      <c r="A8" s="20" t="s">
        <v>44</v>
      </c>
      <c r="B8" s="21" t="s">
        <v>45</v>
      </c>
      <c r="C8" s="22" t="s">
        <v>46</v>
      </c>
      <c r="D8" s="22" t="s">
        <v>47</v>
      </c>
      <c r="E8" s="13" t="s">
        <v>48</v>
      </c>
      <c r="F8" s="14" t="s">
        <v>49</v>
      </c>
      <c r="G8" s="15" t="s">
        <v>50</v>
      </c>
      <c r="H8" s="23" t="s">
        <v>23</v>
      </c>
      <c r="I8" s="22" t="s">
        <v>24</v>
      </c>
      <c r="J8" s="24" t="s">
        <v>51</v>
      </c>
      <c r="K8" s="18"/>
      <c r="L8" s="19" t="s">
        <v>26</v>
      </c>
      <c r="M8" s="16"/>
    </row>
    <row r="9" spans="1:13" ht="60" customHeight="1" x14ac:dyDescent="0.25">
      <c r="A9" s="10" t="s">
        <v>52</v>
      </c>
      <c r="B9" s="11" t="s">
        <v>53</v>
      </c>
      <c r="C9" s="12" t="s">
        <v>54</v>
      </c>
      <c r="D9" s="12" t="s">
        <v>55</v>
      </c>
      <c r="E9" s="13" t="s">
        <v>31</v>
      </c>
      <c r="F9" s="14" t="s">
        <v>56</v>
      </c>
      <c r="G9" s="15" t="s">
        <v>57</v>
      </c>
      <c r="H9" s="16" t="s">
        <v>42</v>
      </c>
      <c r="I9" s="12" t="s">
        <v>24</v>
      </c>
      <c r="J9" s="17" t="s">
        <v>58</v>
      </c>
      <c r="K9" s="18"/>
      <c r="L9" s="19" t="s">
        <v>26</v>
      </c>
      <c r="M9" s="16"/>
    </row>
    <row r="10" spans="1:13" ht="60" customHeight="1" x14ac:dyDescent="0.25">
      <c r="A10" s="20" t="s">
        <v>59</v>
      </c>
      <c r="B10" s="21" t="s">
        <v>60</v>
      </c>
      <c r="C10" s="22" t="s">
        <v>61</v>
      </c>
      <c r="D10" s="22" t="s">
        <v>62</v>
      </c>
      <c r="E10" s="13" t="s">
        <v>31</v>
      </c>
      <c r="F10" s="14" t="s">
        <v>32</v>
      </c>
      <c r="G10" s="15" t="s">
        <v>33</v>
      </c>
      <c r="H10" s="23" t="s">
        <v>23</v>
      </c>
      <c r="I10" s="22" t="s">
        <v>24</v>
      </c>
      <c r="J10" s="24" t="s">
        <v>63</v>
      </c>
      <c r="K10" s="18"/>
      <c r="L10" s="19" t="s">
        <v>26</v>
      </c>
      <c r="M10" s="16"/>
    </row>
    <row r="11" spans="1:13" ht="60" customHeight="1" x14ac:dyDescent="0.25">
      <c r="A11" s="10" t="s">
        <v>64</v>
      </c>
      <c r="B11" s="11" t="s">
        <v>65</v>
      </c>
      <c r="C11" s="12" t="s">
        <v>66</v>
      </c>
      <c r="D11" s="12" t="s">
        <v>67</v>
      </c>
      <c r="E11" s="13" t="s">
        <v>31</v>
      </c>
      <c r="F11" s="14" t="s">
        <v>68</v>
      </c>
      <c r="G11" s="15" t="s">
        <v>69</v>
      </c>
      <c r="H11" s="16" t="s">
        <v>42</v>
      </c>
      <c r="I11" s="12" t="s">
        <v>24</v>
      </c>
      <c r="J11" s="17" t="s">
        <v>70</v>
      </c>
      <c r="K11" s="18"/>
      <c r="L11" s="19" t="s">
        <v>26</v>
      </c>
      <c r="M11" s="16"/>
    </row>
  </sheetData>
  <mergeCells count="3">
    <mergeCell ref="A1:M1"/>
    <mergeCell ref="A2:M2"/>
    <mergeCell ref="A3:M3"/>
  </mergeCells>
  <conditionalFormatting sqref="L5:L11">
    <cfRule type="cellIs" dxfId="5" priority="2" operator="equal">
      <formula>"Verde"</formula>
    </cfRule>
    <cfRule type="cellIs" dxfId="4" priority="3" operator="equal">
      <formula>"Ámbar"</formula>
    </cfRule>
    <cfRule type="cellIs" dxfId="3" priority="4" operator="equal">
      <formula>"Rojo"</formula>
    </cfRule>
  </conditionalFormatting>
  <dataValidations count="1">
    <dataValidation type="list" allowBlank="1" sqref="L5:L100" xr:uid="{00000000-0002-0000-0000-000000000000}">
      <formula1>"Verde,Ámbar,Rojo,Sin datos"</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17"/>
  <sheetViews>
    <sheetView showGridLines="0" zoomScaleNormal="100" workbookViewId="0"/>
  </sheetViews>
  <sheetFormatPr baseColWidth="10" defaultColWidth="8.7109375" defaultRowHeight="15" x14ac:dyDescent="0.25"/>
  <cols>
    <col min="1" max="1" width="3" customWidth="1"/>
    <col min="2" max="2" width="14" customWidth="1"/>
    <col min="3" max="3" width="35" customWidth="1"/>
    <col min="4" max="7" width="16" customWidth="1"/>
    <col min="8" max="8" width="3" customWidth="1"/>
  </cols>
  <sheetData>
    <row r="1" spans="2:7" ht="7.5" customHeight="1" x14ac:dyDescent="0.25"/>
    <row r="2" spans="2:7" ht="25.5" customHeight="1" x14ac:dyDescent="0.25">
      <c r="B2" s="5" t="s">
        <v>71</v>
      </c>
      <c r="C2" s="5"/>
      <c r="D2" s="5"/>
      <c r="E2" s="5"/>
      <c r="F2" s="5"/>
      <c r="G2" s="5"/>
    </row>
    <row r="3" spans="2:7" ht="18" customHeight="1" x14ac:dyDescent="0.25">
      <c r="B3" s="4" t="s">
        <v>72</v>
      </c>
      <c r="C3" s="4"/>
      <c r="D3" s="4"/>
      <c r="E3" s="4"/>
      <c r="F3" s="4"/>
      <c r="G3" s="4"/>
    </row>
    <row r="4" spans="2:7" ht="9.75" customHeight="1" x14ac:dyDescent="0.25"/>
    <row r="5" spans="2:7" ht="30" customHeight="1" x14ac:dyDescent="0.25">
      <c r="B5" s="9" t="s">
        <v>73</v>
      </c>
      <c r="C5" s="9" t="s">
        <v>74</v>
      </c>
      <c r="D5" s="9" t="s">
        <v>7</v>
      </c>
      <c r="E5" s="9" t="s">
        <v>8</v>
      </c>
      <c r="F5" s="9" t="s">
        <v>9</v>
      </c>
      <c r="G5" s="9" t="s">
        <v>75</v>
      </c>
    </row>
    <row r="6" spans="2:7" ht="27.75" customHeight="1" x14ac:dyDescent="0.25">
      <c r="B6" s="10" t="str">
        <f>'KRI Correo'!A5</f>
        <v>KRI-CE-01</v>
      </c>
      <c r="C6" s="25" t="str">
        <f>'KRI Correo'!B5</f>
        <v>Cobertura de MFA en buzones</v>
      </c>
      <c r="D6" s="13" t="str">
        <f>'KRI Correo'!E5</f>
        <v>≥ 95%</v>
      </c>
      <c r="E6" s="14" t="str">
        <f>'KRI Correo'!F5</f>
        <v>80% – 94%</v>
      </c>
      <c r="F6" s="15" t="str">
        <f>'KRI Correo'!G5</f>
        <v>&lt; 80%</v>
      </c>
      <c r="G6" s="26" t="str">
        <f>'KRI Correo'!L5</f>
        <v>Sin datos</v>
      </c>
    </row>
    <row r="7" spans="2:7" ht="27.75" customHeight="1" x14ac:dyDescent="0.25">
      <c r="B7" s="20" t="str">
        <f>'KRI Correo'!A6</f>
        <v>KRI-CE-02</v>
      </c>
      <c r="C7" s="27" t="str">
        <f>'KRI Correo'!B6</f>
        <v>Buzones sin propietario asignado</v>
      </c>
      <c r="D7" s="13" t="str">
        <f>'KRI Correo'!E6</f>
        <v>0</v>
      </c>
      <c r="E7" s="14" t="str">
        <f>'KRI Correo'!F6</f>
        <v>1 – 2</v>
      </c>
      <c r="F7" s="15" t="str">
        <f>'KRI Correo'!G6</f>
        <v>≥ 3</v>
      </c>
      <c r="G7" s="26" t="str">
        <f>'KRI Correo'!L6</f>
        <v>Sin datos</v>
      </c>
    </row>
    <row r="8" spans="2:7" ht="27.75" customHeight="1" x14ac:dyDescent="0.25">
      <c r="B8" s="10" t="str">
        <f>'KRI Correo'!A7</f>
        <v>KRI-CE-03</v>
      </c>
      <c r="C8" s="25" t="str">
        <f>'KRI Correo'!B7</f>
        <v>Intentos fallidos de inicio de sesión en buzones ejecutivos</v>
      </c>
      <c r="D8" s="13" t="str">
        <f>'KRI Correo'!E7</f>
        <v>&lt; 10</v>
      </c>
      <c r="E8" s="14" t="str">
        <f>'KRI Correo'!F7</f>
        <v>10 – 29</v>
      </c>
      <c r="F8" s="15" t="str">
        <f>'KRI Correo'!G7</f>
        <v>≥ 30</v>
      </c>
      <c r="G8" s="26" t="str">
        <f>'KRI Correo'!L7</f>
        <v>Sin datos</v>
      </c>
    </row>
    <row r="9" spans="2:7" ht="27.75" customHeight="1" x14ac:dyDescent="0.25">
      <c r="B9" s="20" t="str">
        <f>'KRI Correo'!A8</f>
        <v>KRI-CE-04</v>
      </c>
      <c r="C9" s="27" t="str">
        <f>'KRI Correo'!B8</f>
        <v>Variación del Score de Seguridad del tenant</v>
      </c>
      <c r="D9" s="13" t="str">
        <f>'KRI Correo'!E8</f>
        <v>Δ ≥ 0 (estable o mejora)</v>
      </c>
      <c r="E9" s="14" t="str">
        <f>'KRI Correo'!F8</f>
        <v>Δ entre -5% y -1%</v>
      </c>
      <c r="F9" s="15" t="str">
        <f>'KRI Correo'!G8</f>
        <v>Δ &lt; -5%</v>
      </c>
      <c r="G9" s="26" t="str">
        <f>'KRI Correo'!L8</f>
        <v>Sin datos</v>
      </c>
    </row>
    <row r="10" spans="2:7" ht="27.75" customHeight="1" x14ac:dyDescent="0.25">
      <c r="B10" s="10" t="str">
        <f>'KRI Correo'!A9</f>
        <v>KRI-CE-05</v>
      </c>
      <c r="C10" s="25" t="str">
        <f>'KRI Correo'!B9</f>
        <v>Dominio en listas negras de reputación</v>
      </c>
      <c r="D10" s="13" t="str">
        <f>'KRI Correo'!E9</f>
        <v>0</v>
      </c>
      <c r="E10" s="14" t="str">
        <f>'KRI Correo'!F9</f>
        <v>1</v>
      </c>
      <c r="F10" s="15" t="str">
        <f>'KRI Correo'!G9</f>
        <v>≥ 2</v>
      </c>
      <c r="G10" s="26" t="str">
        <f>'KRI Correo'!L9</f>
        <v>Sin datos</v>
      </c>
    </row>
    <row r="11" spans="2:7" ht="27.75" customHeight="1" x14ac:dyDescent="0.25">
      <c r="B11" s="20" t="str">
        <f>'KRI Correo'!A10</f>
        <v>KRI-CE-06</v>
      </c>
      <c r="C11" s="27" t="str">
        <f>'KRI Correo'!B10</f>
        <v>Buzones desactivados con licencia activa</v>
      </c>
      <c r="D11" s="13" t="str">
        <f>'KRI Correo'!E10</f>
        <v>0</v>
      </c>
      <c r="E11" s="14" t="str">
        <f>'KRI Correo'!F10</f>
        <v>1 – 2</v>
      </c>
      <c r="F11" s="15" t="str">
        <f>'KRI Correo'!G10</f>
        <v>≥ 3</v>
      </c>
      <c r="G11" s="26" t="str">
        <f>'KRI Correo'!L10</f>
        <v>Sin datos</v>
      </c>
    </row>
    <row r="12" spans="2:7" ht="27.75" customHeight="1" x14ac:dyDescent="0.25">
      <c r="B12" s="10" t="str">
        <f>'KRI Correo'!A11</f>
        <v>KRI-CE-07</v>
      </c>
      <c r="C12" s="25" t="str">
        <f>'KRI Correo'!B11</f>
        <v>Reglas de reenvío externo detectadas</v>
      </c>
      <c r="D12" s="13" t="str">
        <f>'KRI Correo'!E11</f>
        <v>0</v>
      </c>
      <c r="E12" s="14" t="str">
        <f>'KRI Correo'!F11</f>
        <v>1 (autorizada y documentada)</v>
      </c>
      <c r="F12" s="15" t="str">
        <f>'KRI Correo'!G11</f>
        <v>≥ 1 no autorizada</v>
      </c>
      <c r="G12" s="26" t="str">
        <f>'KRI Correo'!L11</f>
        <v>Sin datos</v>
      </c>
    </row>
    <row r="13" spans="2:7" ht="9.75" customHeight="1" x14ac:dyDescent="0.25"/>
    <row r="14" spans="2:7" ht="24" customHeight="1" x14ac:dyDescent="0.25">
      <c r="B14" s="3" t="s">
        <v>76</v>
      </c>
      <c r="C14" s="3"/>
    </row>
    <row r="15" spans="2:7" ht="24" customHeight="1" x14ac:dyDescent="0.25">
      <c r="B15" s="28" t="s">
        <v>77</v>
      </c>
      <c r="C15" s="29">
        <f>COUNTIF('KRI Correo'!L5:L11,"Verde")</f>
        <v>0</v>
      </c>
    </row>
    <row r="16" spans="2:7" ht="24" customHeight="1" x14ac:dyDescent="0.25">
      <c r="B16" s="30" t="s">
        <v>78</v>
      </c>
      <c r="C16" s="31">
        <f>COUNTIF('KRI Correo'!L5:L11,"Ámbar")</f>
        <v>0</v>
      </c>
    </row>
    <row r="17" spans="2:3" ht="24" customHeight="1" x14ac:dyDescent="0.25">
      <c r="B17" s="32" t="s">
        <v>79</v>
      </c>
      <c r="C17" s="33">
        <f>COUNTIF('KRI Correo'!L5:L11,"Rojo")</f>
        <v>0</v>
      </c>
    </row>
  </sheetData>
  <mergeCells count="3">
    <mergeCell ref="B2:G2"/>
    <mergeCell ref="B3:G3"/>
    <mergeCell ref="B14:C14"/>
  </mergeCells>
  <conditionalFormatting sqref="G6:G12">
    <cfRule type="cellIs" dxfId="2" priority="2" operator="equal">
      <formula>"Verde"</formula>
    </cfRule>
    <cfRule type="cellIs" dxfId="1" priority="3" operator="equal">
      <formula>"Ámbar"</formula>
    </cfRule>
    <cfRule type="cellIs" dxfId="0" priority="4" operator="equal">
      <formula>"Rojo"</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C28"/>
  <sheetViews>
    <sheetView showGridLines="0" zoomScaleNormal="100" workbookViewId="0"/>
  </sheetViews>
  <sheetFormatPr baseColWidth="10" defaultColWidth="8.7109375" defaultRowHeight="15" x14ac:dyDescent="0.25"/>
  <cols>
    <col min="1" max="1" width="3" customWidth="1"/>
    <col min="2" max="2" width="18" customWidth="1"/>
    <col min="3" max="3" width="80" customWidth="1"/>
  </cols>
  <sheetData>
    <row r="1" spans="2:3" ht="7.5" customHeight="1" x14ac:dyDescent="0.25"/>
    <row r="2" spans="2:3" ht="25.5" customHeight="1" x14ac:dyDescent="0.25">
      <c r="B2" s="5" t="s">
        <v>80</v>
      </c>
      <c r="C2" s="5"/>
    </row>
    <row r="3" spans="2:3" ht="18" customHeight="1" x14ac:dyDescent="0.25">
      <c r="B3" s="4" t="s">
        <v>81</v>
      </c>
      <c r="C3" s="4"/>
    </row>
    <row r="4" spans="2:3" ht="9.75" customHeight="1" x14ac:dyDescent="0.25"/>
    <row r="5" spans="2:3" ht="19.5" customHeight="1" x14ac:dyDescent="0.25">
      <c r="B5" s="34" t="s">
        <v>82</v>
      </c>
      <c r="C5" s="35"/>
    </row>
    <row r="6" spans="2:3" ht="79.5" customHeight="1" x14ac:dyDescent="0.25">
      <c r="B6" s="2" t="s">
        <v>83</v>
      </c>
      <c r="C6" s="2"/>
    </row>
    <row r="7" spans="2:3" ht="6" customHeight="1" x14ac:dyDescent="0.25"/>
    <row r="8" spans="2:3" ht="19.5" customHeight="1" x14ac:dyDescent="0.25">
      <c r="B8" s="34" t="s">
        <v>84</v>
      </c>
      <c r="C8" s="35"/>
    </row>
    <row r="9" spans="2:3" ht="79.5" customHeight="1" x14ac:dyDescent="0.25">
      <c r="B9" s="2" t="s">
        <v>85</v>
      </c>
      <c r="C9" s="2"/>
    </row>
    <row r="10" spans="2:3" ht="6" customHeight="1" x14ac:dyDescent="0.25"/>
    <row r="11" spans="2:3" ht="19.5" customHeight="1" x14ac:dyDescent="0.25">
      <c r="B11" s="34" t="s">
        <v>86</v>
      </c>
      <c r="C11" s="35"/>
    </row>
    <row r="12" spans="2:3" ht="79.5" customHeight="1" x14ac:dyDescent="0.25">
      <c r="B12" s="1" t="s">
        <v>87</v>
      </c>
      <c r="C12" s="1"/>
    </row>
    <row r="13" spans="2:3" ht="6" customHeight="1" x14ac:dyDescent="0.25"/>
    <row r="14" spans="2:3" ht="19.5" customHeight="1" x14ac:dyDescent="0.25">
      <c r="B14" s="34" t="s">
        <v>88</v>
      </c>
      <c r="C14" s="35"/>
    </row>
    <row r="15" spans="2:3" ht="79.5" customHeight="1" x14ac:dyDescent="0.25">
      <c r="B15" s="2" t="s">
        <v>89</v>
      </c>
      <c r="C15" s="2"/>
    </row>
    <row r="16" spans="2:3" ht="6" customHeight="1" x14ac:dyDescent="0.25"/>
    <row r="17" spans="2:3" ht="19.5" customHeight="1" x14ac:dyDescent="0.25">
      <c r="B17" s="34" t="s">
        <v>90</v>
      </c>
      <c r="C17" s="35"/>
    </row>
    <row r="18" spans="2:3" ht="79.5" customHeight="1" x14ac:dyDescent="0.25">
      <c r="B18" s="2" t="s">
        <v>91</v>
      </c>
      <c r="C18" s="2"/>
    </row>
    <row r="19" spans="2:3" ht="6" customHeight="1" x14ac:dyDescent="0.25"/>
    <row r="20" spans="2:3" ht="19.5" customHeight="1" x14ac:dyDescent="0.25">
      <c r="B20" s="34" t="s">
        <v>92</v>
      </c>
      <c r="C20" s="35"/>
    </row>
    <row r="21" spans="2:3" ht="79.5" customHeight="1" x14ac:dyDescent="0.25">
      <c r="B21" s="2" t="s">
        <v>93</v>
      </c>
      <c r="C21" s="2"/>
    </row>
    <row r="22" spans="2:3" ht="6" customHeight="1" x14ac:dyDescent="0.25"/>
    <row r="23" spans="2:3" ht="19.5" customHeight="1" x14ac:dyDescent="0.25">
      <c r="B23" s="34" t="s">
        <v>94</v>
      </c>
      <c r="C23" s="35"/>
    </row>
    <row r="24" spans="2:3" ht="79.5" customHeight="1" x14ac:dyDescent="0.25">
      <c r="B24" s="1" t="s">
        <v>95</v>
      </c>
      <c r="C24" s="1"/>
    </row>
    <row r="25" spans="2:3" ht="6" customHeight="1" x14ac:dyDescent="0.25"/>
    <row r="26" spans="2:3" ht="19.5" customHeight="1" x14ac:dyDescent="0.25">
      <c r="B26" s="34" t="s">
        <v>96</v>
      </c>
      <c r="C26" s="35"/>
    </row>
    <row r="27" spans="2:3" ht="79.5" customHeight="1" x14ac:dyDescent="0.25">
      <c r="B27" s="2" t="s">
        <v>97</v>
      </c>
      <c r="C27" s="2"/>
    </row>
    <row r="28" spans="2:3" ht="6" customHeight="1" x14ac:dyDescent="0.25"/>
  </sheetData>
  <mergeCells count="10">
    <mergeCell ref="B15:C15"/>
    <mergeCell ref="B18:C18"/>
    <mergeCell ref="B21:C21"/>
    <mergeCell ref="B24:C24"/>
    <mergeCell ref="B27:C27"/>
    <mergeCell ref="B2:C2"/>
    <mergeCell ref="B3:C3"/>
    <mergeCell ref="B6:C6"/>
    <mergeCell ref="B9:C9"/>
    <mergeCell ref="B12:C1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KRI Correo</vt:lpstr>
      <vt:lpstr>Dashboard</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mvergara@openitnet.com</dc:creator>
  <dc:description/>
  <cp:lastModifiedBy>Mauricio Vergara</cp:lastModifiedBy>
  <cp:revision>0</cp:revision>
  <dcterms:created xsi:type="dcterms:W3CDTF">2026-06-06T20:56:54Z</dcterms:created>
  <dcterms:modified xsi:type="dcterms:W3CDTF">2026-06-06T21:03:15Z</dcterms:modified>
  <dc:language>en-US</dc:language>
</cp:coreProperties>
</file>