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penitsoft-my.sharepoint.com/personal/mvergara_openitnet_com/Documents/Desktop/"/>
    </mc:Choice>
  </mc:AlternateContent>
  <xr:revisionPtr revIDLastSave="1" documentId="11_DCD8166306605A5CD3800A020D3E0AA836D08E65" xr6:coauthVersionLast="47" xr6:coauthVersionMax="47" xr10:uidLastSave="{FEB55687-336A-414F-809E-D8867A2B2D83}"/>
  <bookViews>
    <workbookView xWindow="1560" yWindow="1560" windowWidth="21600" windowHeight="11505" tabRatio="500" xr2:uid="{00000000-000D-0000-FFFF-FFFF00000000}"/>
  </bookViews>
  <sheets>
    <sheet name="Inventario de Equipos" sheetId="1" r:id="rId1"/>
    <sheet name="Instruccion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E45" i="1" l="1"/>
  <c r="E44" i="1"/>
  <c r="E43" i="1"/>
  <c r="E42" i="1"/>
  <c r="E41" i="1"/>
  <c r="E40" i="1"/>
  <c r="E39" i="1"/>
  <c r="E38" i="1"/>
</calcChain>
</file>

<file path=xl/sharedStrings.xml><?xml version="1.0" encoding="utf-8"?>
<sst xmlns="http://schemas.openxmlformats.org/spreadsheetml/2006/main" count="166" uniqueCount="113">
  <si>
    <t>Inventario de Equipos de Escritorio y Portátiles</t>
  </si>
  <si>
    <t>Ciberprotección para PyMES  ·  Capítulo 8 — Equipos  ·  Plantilla 8.4</t>
  </si>
  <si>
    <t>Instrucciones: Complete un registro por cada equipo corporativo o BYOD. Los campos marcados con * son obligatorios. Use las listas desplegables donde estén disponibles.</t>
  </si>
  <si>
    <t>ID*</t>
  </si>
  <si>
    <t>Hostname*</t>
  </si>
  <si>
    <t>Tipo*</t>
  </si>
  <si>
    <t>Marca</t>
  </si>
  <si>
    <t>Modelo</t>
  </si>
  <si>
    <t>N.° de Serie*</t>
  </si>
  <si>
    <t>Sistema Operativo*</t>
  </si>
  <si>
    <t>Versión SO*</t>
  </si>
  <si>
    <t>Perfil SECCON*</t>
  </si>
  <si>
    <t>Usuario Asignado*</t>
  </si>
  <si>
    <t>Área / Depto.</t>
  </si>
  <si>
    <t>Fecha Incorporación*</t>
  </si>
  <si>
    <t>Próxima Revisión</t>
  </si>
  <si>
    <t>Estado Hardening*</t>
  </si>
  <si>
    <t>Agente EDR</t>
  </si>
  <si>
    <t>Cifrado Disco</t>
  </si>
  <si>
    <t>Enrolado UEM</t>
  </si>
  <si>
    <t>Backup Config.</t>
  </si>
  <si>
    <t>Observaciones</t>
  </si>
  <si>
    <t>EQ-001</t>
  </si>
  <si>
    <t>WKS-CONTAB-01</t>
  </si>
  <si>
    <t>Escritorio</t>
  </si>
  <si>
    <t>Dell</t>
  </si>
  <si>
    <t>OptiPlex 7090</t>
  </si>
  <si>
    <t>SN-001-2024</t>
  </si>
  <si>
    <t>Windows 11</t>
  </si>
  <si>
    <t>23H2</t>
  </si>
  <si>
    <t>Nivel 5 - Seguridad Empresarial</t>
  </si>
  <si>
    <t>María García</t>
  </si>
  <si>
    <t>Contabilidad</t>
  </si>
  <si>
    <t>15/01/2024</t>
  </si>
  <si>
    <t>15/01/2025</t>
  </si>
  <si>
    <t>Completado</t>
  </si>
  <si>
    <t>Sí</t>
  </si>
  <si>
    <t>EQ-002</t>
  </si>
  <si>
    <t>LPT-GERENCIA-01</t>
  </si>
  <si>
    <t>Portátil</t>
  </si>
  <si>
    <t>Lenovo</t>
  </si>
  <si>
    <t>ThinkPad X1</t>
  </si>
  <si>
    <t>SN-002-2024</t>
  </si>
  <si>
    <t>Nivel 3 - VIP</t>
  </si>
  <si>
    <t>Carlos López</t>
  </si>
  <si>
    <t>Gerencia</t>
  </si>
  <si>
    <t>20/01/2024</t>
  </si>
  <si>
    <t>20/01/2025</t>
  </si>
  <si>
    <t>Portátil asignado al gerente general</t>
  </si>
  <si>
    <t>EQ-003</t>
  </si>
  <si>
    <t>WKS-DISENO-01</t>
  </si>
  <si>
    <t>Apple</t>
  </si>
  <si>
    <t>Mac Mini M3</t>
  </si>
  <si>
    <t>SN-003-2024</t>
  </si>
  <si>
    <t>macOS Sonoma</t>
  </si>
  <si>
    <t>14.4</t>
  </si>
  <si>
    <t>Ana Rodríguez</t>
  </si>
  <si>
    <t>Diseño</t>
  </si>
  <si>
    <t>25/01/2024</t>
  </si>
  <si>
    <t>25/01/2025</t>
  </si>
  <si>
    <t>EQ-004</t>
  </si>
  <si>
    <t>LPT-BYOD-001</t>
  </si>
  <si>
    <t>BYOD - Portátil</t>
  </si>
  <si>
    <t>HP</t>
  </si>
  <si>
    <t>EliteBook 840</t>
  </si>
  <si>
    <t>SN-004-BYOD</t>
  </si>
  <si>
    <t>Pedro Martínez</t>
  </si>
  <si>
    <t>Ventas</t>
  </si>
  <si>
    <t>10/02/2024</t>
  </si>
  <si>
    <t>10/02/2025</t>
  </si>
  <si>
    <t>No</t>
  </si>
  <si>
    <t>Dispositivo BYOD autorizado. Backup no aplica sobre datos personales.</t>
  </si>
  <si>
    <t>EQ-005</t>
  </si>
  <si>
    <t>WKS-SOPORTE-01</t>
  </si>
  <si>
    <t>SN-005-2024</t>
  </si>
  <si>
    <t>Nivel 2 - DevOps</t>
  </si>
  <si>
    <t>Luis Herrera</t>
  </si>
  <si>
    <t>TI</t>
  </si>
  <si>
    <t>15/02/2024</t>
  </si>
  <si>
    <t>15/02/2025</t>
  </si>
  <si>
    <t>Estación de trabajo del equipo de soporte TI</t>
  </si>
  <si>
    <t>Resumen del Inventario</t>
  </si>
  <si>
    <t>Total de equipos registrados</t>
  </si>
  <si>
    <t>Equipos corporativos</t>
  </si>
  <si>
    <t>Dispositivos BYOD</t>
  </si>
  <si>
    <t>Equipos con hardening completado</t>
  </si>
  <si>
    <t>Equipos con EDR activo</t>
  </si>
  <si>
    <t>Equipos con cifrado habilitado</t>
  </si>
  <si>
    <t>Equipos enrolados en UEM</t>
  </si>
  <si>
    <t>Equipos pendientes de hardening</t>
  </si>
  <si>
    <t>Guía de Uso — Inventario de Equipos (Plantilla 8.4)</t>
  </si>
  <si>
    <t>Ciberprotección para PyMES  ·  Capítulo 8 — Equipos</t>
  </si>
  <si>
    <t>Campo</t>
  </si>
  <si>
    <t>Descripción / Instrucciones</t>
  </si>
  <si>
    <t>Identificador único del dispositivo. Use el formato EQ-NNN (ej. EQ-001). No repita IDs.</t>
  </si>
  <si>
    <t>Nombre del equipo en la red. Ej: WKS-CONTAB-01 (WKS=escritorio, LPT=portátil), seguido del área y número.</t>
  </si>
  <si>
    <t>Seleccione del menú: Escritorio, Portátil, BYOD - Escritorio o BYOD - Portátil.</t>
  </si>
  <si>
    <t>Fabricante del equipo. Ej: Dell, HP, Lenovo, Apple.</t>
  </si>
  <si>
    <t>Nombre comercial del modelo. Ej: OptiPlex 7090, ThinkPad X1 Carbon.</t>
  </si>
  <si>
    <t>Número de serie del fabricante. Se encuentra en la etiqueta física del equipo o en las propiedades del sistema.</t>
  </si>
  <si>
    <t>Seleccione del menú desplegable el SO instalado.</t>
  </si>
  <si>
    <t>Versión específica del SO. En Windows: ejecute winver. En macOS: menú Apple &gt; Acerca de este Mac.</t>
  </si>
  <si>
    <t>Nivel de seguridad asignado según el modelo SECCON de Microsoft. Ver sección 8.5.1.6 del capítulo.</t>
  </si>
  <si>
    <t>Nombre completo del colaborador responsable del equipo. Un equipo = un usuario nominal.</t>
  </si>
  <si>
    <t>Área o departamento al que pertenece el usuario asignado.</t>
  </si>
  <si>
    <t>Fecha en que el equipo fue entregado al usuario tras completar el proceso de hardening.</t>
  </si>
  <si>
    <t>Fecha programada para la siguiente auditoría del dispositivo. Por defecto: 12 meses desde incorporación.</t>
  </si>
  <si>
    <t>Completado: proceso ejecutado. Pendiente: en cola. No aplica: dispositivo en retiro.</t>
  </si>
  <si>
    <t>Indica si el agente de detección y respuesta (EDR) o antivirus corporativo está instalado y activo.</t>
  </si>
  <si>
    <t>Indica si el cifrado completo del disco está habilitado (BitLocker / FileVault / LUKS).</t>
  </si>
  <si>
    <t>Indica si el dispositivo está registrado y gestionado desde la plataforma UEM corporativa.</t>
  </si>
  <si>
    <t>Indica si la solución de copia de seguridad corporativa está configurada y verificada en este equipo.</t>
  </si>
  <si>
    <t>Notas adicionales relevantes: accesorios asignados, restricciones especiales, historial de incidentes, etc.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</si>
</sst>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charset val="1"/>
    </font>
    <font>
      <b/>
      <sz val="16"/>
      <color rgb="FF1F3864"/>
      <name val="Calibri"/>
      <charset val="1"/>
    </font>
    <font>
      <i/>
      <sz val="11"/>
      <color rgb="FF5B9BD5"/>
      <name val="Calibri"/>
      <charset val="1"/>
    </font>
    <font>
      <i/>
      <sz val="10"/>
      <color rgb="FF555555"/>
      <name val="Calibri"/>
      <charset val="1"/>
    </font>
    <font>
      <b/>
      <sz val="11"/>
      <color rgb="FFFFFFFF"/>
      <name val="Calibri"/>
      <charset val="1"/>
    </font>
    <font>
      <sz val="11"/>
      <color rgb="FF333333"/>
      <name val="Calibri"/>
      <charset val="1"/>
    </font>
    <font>
      <b/>
      <sz val="11"/>
      <color rgb="FF2E75B6"/>
      <name val="Calibri"/>
      <charset val="1"/>
    </font>
    <font>
      <b/>
      <sz val="14"/>
      <color rgb="FF1F3864"/>
      <name val="Calibri"/>
      <charset val="1"/>
    </font>
    <font>
      <b/>
      <sz val="11"/>
      <color rgb="FF333333"/>
      <name val="Calibri"/>
      <charset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EBF3FB"/>
      </patternFill>
    </fill>
    <fill>
      <patternFill patternType="solid">
        <fgColor rgb="FFFFF2CC"/>
        <bgColor rgb="FFEBF3FB"/>
      </patternFill>
    </fill>
    <fill>
      <patternFill patternType="solid">
        <fgColor rgb="FF185FA5"/>
        <bgColor rgb="FF2E75B6"/>
      </patternFill>
    </fill>
    <fill>
      <patternFill patternType="solid">
        <fgColor rgb="FFEBF3FB"/>
        <bgColor rgb="FFFFFFFF"/>
      </patternFill>
    </fill>
    <fill>
      <patternFill patternType="solid">
        <fgColor rgb="FF2E75B6"/>
        <bgColor rgb="FF185FA5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7" fillId="0" borderId="0" xfId="0" applyFont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left" vertical="center" wrapText="1"/>
    </xf>
    <xf numFmtId="0" fontId="4" fillId="6" borderId="2" xfId="0" applyFont="1" applyFill="1" applyBorder="1" applyAlignment="1">
      <alignment horizontal="left" vertical="center" wrapText="1"/>
    </xf>
    <xf numFmtId="0" fontId="3" fillId="3" borderId="0" xfId="0" applyFont="1" applyFill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5B9BD5"/>
      <rgbColor rgb="FF993366"/>
      <rgbColor rgb="FFFFF2CC"/>
      <rgbColor rgb="FFEBF3FB"/>
      <rgbColor rgb="FF660066"/>
      <rgbColor rgb="FFFF8080"/>
      <rgbColor rgb="FF185FA5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555555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85FA5"/>
  </sheetPr>
  <dimension ref="A1:S45"/>
  <sheetViews>
    <sheetView showGridLines="0" tabSelected="1" zoomScaleNormal="100" workbookViewId="0">
      <pane ySplit="4" topLeftCell="A5" activePane="bottomLeft" state="frozen"/>
      <selection pane="bottomLeft" sqref="A1:P1"/>
    </sheetView>
  </sheetViews>
  <sheetFormatPr baseColWidth="10" defaultColWidth="8.7109375" defaultRowHeight="15" x14ac:dyDescent="0.25"/>
  <cols>
    <col min="1" max="1" width="12" customWidth="1"/>
    <col min="2" max="2" width="20" customWidth="1"/>
    <col min="3" max="4" width="14" customWidth="1"/>
    <col min="5" max="6" width="18" customWidth="1"/>
    <col min="7" max="7" width="22" customWidth="1"/>
    <col min="8" max="9" width="14" customWidth="1"/>
    <col min="10" max="10" width="20" customWidth="1"/>
    <col min="11" max="11" width="16" customWidth="1"/>
    <col min="12" max="12" width="18" customWidth="1"/>
    <col min="13" max="14" width="16" customWidth="1"/>
    <col min="15" max="18" width="14" customWidth="1"/>
    <col min="19" max="19" width="28" customWidth="1"/>
  </cols>
  <sheetData>
    <row r="1" spans="1:19" ht="20.85" customHeight="1" x14ac:dyDescent="0.25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</row>
    <row r="2" spans="1:19" ht="15" customHeight="1" x14ac:dyDescent="0.25">
      <c r="A2" s="6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9" ht="27.75" customHeight="1" x14ac:dyDescent="0.25">
      <c r="A3" s="5" t="s">
        <v>2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</row>
    <row r="4" spans="1:19" ht="13.5" customHeight="1" x14ac:dyDescent="0.25"/>
    <row r="5" spans="1:19" ht="36" customHeight="1" x14ac:dyDescent="0.25">
      <c r="A5" s="8" t="s">
        <v>3</v>
      </c>
      <c r="B5" s="8" t="s">
        <v>4</v>
      </c>
      <c r="C5" s="8" t="s">
        <v>5</v>
      </c>
      <c r="D5" s="8" t="s">
        <v>6</v>
      </c>
      <c r="E5" s="8" t="s">
        <v>7</v>
      </c>
      <c r="F5" s="8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8" t="s">
        <v>13</v>
      </c>
      <c r="L5" s="8" t="s">
        <v>14</v>
      </c>
      <c r="M5" s="8" t="s">
        <v>15</v>
      </c>
      <c r="N5" s="8" t="s">
        <v>16</v>
      </c>
      <c r="O5" s="8" t="s">
        <v>17</v>
      </c>
      <c r="P5" s="8" t="s">
        <v>18</v>
      </c>
      <c r="Q5" s="8" t="s">
        <v>19</v>
      </c>
      <c r="R5" s="8" t="s">
        <v>20</v>
      </c>
      <c r="S5" s="8" t="s">
        <v>21</v>
      </c>
    </row>
    <row r="6" spans="1:19" ht="21.75" customHeight="1" x14ac:dyDescent="0.25">
      <c r="A6" s="9" t="s">
        <v>22</v>
      </c>
      <c r="B6" s="10" t="s">
        <v>23</v>
      </c>
      <c r="C6" s="9" t="s">
        <v>24</v>
      </c>
      <c r="D6" s="10" t="s">
        <v>25</v>
      </c>
      <c r="E6" s="10" t="s">
        <v>26</v>
      </c>
      <c r="F6" s="10" t="s">
        <v>27</v>
      </c>
      <c r="G6" s="10" t="s">
        <v>28</v>
      </c>
      <c r="H6" s="9" t="s">
        <v>29</v>
      </c>
      <c r="I6" s="9" t="s">
        <v>30</v>
      </c>
      <c r="J6" s="10" t="s">
        <v>31</v>
      </c>
      <c r="K6" s="10" t="s">
        <v>32</v>
      </c>
      <c r="L6" s="9" t="s">
        <v>33</v>
      </c>
      <c r="M6" s="9" t="s">
        <v>34</v>
      </c>
      <c r="N6" s="9" t="s">
        <v>35</v>
      </c>
      <c r="O6" s="9" t="s">
        <v>36</v>
      </c>
      <c r="P6" s="9" t="s">
        <v>36</v>
      </c>
      <c r="Q6" s="9" t="s">
        <v>36</v>
      </c>
      <c r="R6" s="9" t="s">
        <v>36</v>
      </c>
      <c r="S6" s="10"/>
    </row>
    <row r="7" spans="1:19" ht="21.75" customHeight="1" x14ac:dyDescent="0.25">
      <c r="A7" s="11" t="s">
        <v>37</v>
      </c>
      <c r="B7" s="12" t="s">
        <v>38</v>
      </c>
      <c r="C7" s="11" t="s">
        <v>39</v>
      </c>
      <c r="D7" s="12" t="s">
        <v>40</v>
      </c>
      <c r="E7" s="12" t="s">
        <v>41</v>
      </c>
      <c r="F7" s="12" t="s">
        <v>42</v>
      </c>
      <c r="G7" s="12" t="s">
        <v>28</v>
      </c>
      <c r="H7" s="11" t="s">
        <v>29</v>
      </c>
      <c r="I7" s="11" t="s">
        <v>43</v>
      </c>
      <c r="J7" s="12" t="s">
        <v>44</v>
      </c>
      <c r="K7" s="12" t="s">
        <v>45</v>
      </c>
      <c r="L7" s="11" t="s">
        <v>46</v>
      </c>
      <c r="M7" s="11" t="s">
        <v>47</v>
      </c>
      <c r="N7" s="11" t="s">
        <v>35</v>
      </c>
      <c r="O7" s="11" t="s">
        <v>36</v>
      </c>
      <c r="P7" s="11" t="s">
        <v>36</v>
      </c>
      <c r="Q7" s="11" t="s">
        <v>36</v>
      </c>
      <c r="R7" s="11" t="s">
        <v>36</v>
      </c>
      <c r="S7" s="12" t="s">
        <v>48</v>
      </c>
    </row>
    <row r="8" spans="1:19" ht="21.75" customHeight="1" x14ac:dyDescent="0.25">
      <c r="A8" s="9" t="s">
        <v>49</v>
      </c>
      <c r="B8" s="10" t="s">
        <v>50</v>
      </c>
      <c r="C8" s="9" t="s">
        <v>24</v>
      </c>
      <c r="D8" s="10" t="s">
        <v>51</v>
      </c>
      <c r="E8" s="10" t="s">
        <v>52</v>
      </c>
      <c r="F8" s="10" t="s">
        <v>53</v>
      </c>
      <c r="G8" s="10" t="s">
        <v>54</v>
      </c>
      <c r="H8" s="9" t="s">
        <v>55</v>
      </c>
      <c r="I8" s="9" t="s">
        <v>30</v>
      </c>
      <c r="J8" s="10" t="s">
        <v>56</v>
      </c>
      <c r="K8" s="10" t="s">
        <v>57</v>
      </c>
      <c r="L8" s="9" t="s">
        <v>58</v>
      </c>
      <c r="M8" s="9" t="s">
        <v>59</v>
      </c>
      <c r="N8" s="9" t="s">
        <v>35</v>
      </c>
      <c r="O8" s="9" t="s">
        <v>36</v>
      </c>
      <c r="P8" s="9" t="s">
        <v>36</v>
      </c>
      <c r="Q8" s="9" t="s">
        <v>36</v>
      </c>
      <c r="R8" s="9" t="s">
        <v>36</v>
      </c>
      <c r="S8" s="10"/>
    </row>
    <row r="9" spans="1:19" ht="21.75" customHeight="1" x14ac:dyDescent="0.25">
      <c r="A9" s="11" t="s">
        <v>60</v>
      </c>
      <c r="B9" s="12" t="s">
        <v>61</v>
      </c>
      <c r="C9" s="11" t="s">
        <v>62</v>
      </c>
      <c r="D9" s="12" t="s">
        <v>63</v>
      </c>
      <c r="E9" s="12" t="s">
        <v>64</v>
      </c>
      <c r="F9" s="12" t="s">
        <v>65</v>
      </c>
      <c r="G9" s="12" t="s">
        <v>28</v>
      </c>
      <c r="H9" s="11" t="s">
        <v>29</v>
      </c>
      <c r="I9" s="11" t="s">
        <v>30</v>
      </c>
      <c r="J9" s="12" t="s">
        <v>66</v>
      </c>
      <c r="K9" s="12" t="s">
        <v>67</v>
      </c>
      <c r="L9" s="11" t="s">
        <v>68</v>
      </c>
      <c r="M9" s="11" t="s">
        <v>69</v>
      </c>
      <c r="N9" s="11" t="s">
        <v>35</v>
      </c>
      <c r="O9" s="11" t="s">
        <v>36</v>
      </c>
      <c r="P9" s="11" t="s">
        <v>36</v>
      </c>
      <c r="Q9" s="11" t="s">
        <v>36</v>
      </c>
      <c r="R9" s="11" t="s">
        <v>70</v>
      </c>
      <c r="S9" s="12" t="s">
        <v>71</v>
      </c>
    </row>
    <row r="10" spans="1:19" ht="21.75" customHeight="1" x14ac:dyDescent="0.25">
      <c r="A10" s="9" t="s">
        <v>72</v>
      </c>
      <c r="B10" s="10" t="s">
        <v>73</v>
      </c>
      <c r="C10" s="9" t="s">
        <v>24</v>
      </c>
      <c r="D10" s="10" t="s">
        <v>25</v>
      </c>
      <c r="E10" s="10" t="s">
        <v>26</v>
      </c>
      <c r="F10" s="10" t="s">
        <v>74</v>
      </c>
      <c r="G10" s="10" t="s">
        <v>28</v>
      </c>
      <c r="H10" s="9" t="s">
        <v>29</v>
      </c>
      <c r="I10" s="9" t="s">
        <v>75</v>
      </c>
      <c r="J10" s="10" t="s">
        <v>76</v>
      </c>
      <c r="K10" s="10" t="s">
        <v>77</v>
      </c>
      <c r="L10" s="9" t="s">
        <v>78</v>
      </c>
      <c r="M10" s="9" t="s">
        <v>79</v>
      </c>
      <c r="N10" s="9" t="s">
        <v>35</v>
      </c>
      <c r="O10" s="9" t="s">
        <v>36</v>
      </c>
      <c r="P10" s="9" t="s">
        <v>36</v>
      </c>
      <c r="Q10" s="9" t="s">
        <v>36</v>
      </c>
      <c r="R10" s="9" t="s">
        <v>36</v>
      </c>
      <c r="S10" s="10" t="s">
        <v>80</v>
      </c>
    </row>
    <row r="11" spans="1:19" ht="19.5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</row>
    <row r="12" spans="1:19" ht="19.5" customHeight="1" x14ac:dyDescent="0.25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</row>
    <row r="13" spans="1:19" ht="19.5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</row>
    <row r="14" spans="1:19" ht="19.5" customHeight="1" x14ac:dyDescent="0.25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</row>
    <row r="15" spans="1:19" ht="19.5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</row>
    <row r="16" spans="1:19" ht="19.5" customHeight="1" x14ac:dyDescent="0.25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</row>
    <row r="17" spans="1:19" ht="19.5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</row>
    <row r="18" spans="1:19" ht="19.5" customHeight="1" x14ac:dyDescent="0.25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</row>
    <row r="19" spans="1:19" ht="19.5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</row>
    <row r="20" spans="1:19" ht="19.5" customHeight="1" x14ac:dyDescent="0.25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</row>
    <row r="21" spans="1:19" ht="19.5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</row>
    <row r="22" spans="1:19" ht="19.5" customHeight="1" x14ac:dyDescent="0.25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</row>
    <row r="23" spans="1:19" ht="19.5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</row>
    <row r="24" spans="1:19" ht="19.5" customHeight="1" x14ac:dyDescent="0.25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</row>
    <row r="25" spans="1:19" ht="19.5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</row>
    <row r="26" spans="1:19" ht="19.5" customHeight="1" x14ac:dyDescent="0.25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</row>
    <row r="27" spans="1:19" ht="19.5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</row>
    <row r="28" spans="1:19" ht="19.5" customHeight="1" x14ac:dyDescent="0.25">
      <c r="A28" s="10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</row>
    <row r="29" spans="1:19" ht="19.5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</row>
    <row r="30" spans="1:19" ht="19.5" customHeight="1" x14ac:dyDescent="0.25">
      <c r="A30" s="10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</row>
    <row r="31" spans="1:19" ht="19.5" customHeight="1" x14ac:dyDescent="0.25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</row>
    <row r="32" spans="1:19" ht="19.5" customHeight="1" x14ac:dyDescent="0.25">
      <c r="A32" s="10"/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</row>
    <row r="33" spans="1:19" ht="19.5" customHeight="1" x14ac:dyDescent="0.25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</row>
    <row r="34" spans="1:19" ht="19.5" customHeight="1" x14ac:dyDescent="0.25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9.5" customHeight="1" x14ac:dyDescent="0.25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</row>
    <row r="37" spans="1:19" ht="21.75" customHeight="1" x14ac:dyDescent="0.25">
      <c r="A37" s="4" t="s">
        <v>81</v>
      </c>
      <c r="B37" s="4"/>
      <c r="C37" s="4"/>
      <c r="D37" s="4"/>
      <c r="E37" s="4"/>
    </row>
    <row r="38" spans="1:19" ht="19.5" customHeight="1" x14ac:dyDescent="0.25">
      <c r="A38" s="3" t="s">
        <v>82</v>
      </c>
      <c r="B38" s="3"/>
      <c r="C38" s="3"/>
      <c r="D38" s="3"/>
      <c r="E38" s="13">
        <f>COUNTA(B6:B35)</f>
        <v>5</v>
      </c>
    </row>
    <row r="39" spans="1:19" ht="19.5" customHeight="1" x14ac:dyDescent="0.25">
      <c r="A39" s="2" t="s">
        <v>83</v>
      </c>
      <c r="B39" s="2"/>
      <c r="C39" s="2"/>
      <c r="D39" s="2"/>
      <c r="E39" s="14">
        <f>COUNTIF(C6:C35,"Escritorio")+COUNTIF(C6:C35,"Portátil")</f>
        <v>4</v>
      </c>
    </row>
    <row r="40" spans="1:19" ht="19.5" customHeight="1" x14ac:dyDescent="0.25">
      <c r="A40" s="3" t="s">
        <v>84</v>
      </c>
      <c r="B40" s="3"/>
      <c r="C40" s="3"/>
      <c r="D40" s="3"/>
      <c r="E40" s="13">
        <f>COUNTIF(C6:C35,"BYOD - Escritorio")+COUNTIF(C6:C35,"BYOD - Portátil")</f>
        <v>1</v>
      </c>
    </row>
    <row r="41" spans="1:19" ht="19.5" customHeight="1" x14ac:dyDescent="0.25">
      <c r="A41" s="2" t="s">
        <v>85</v>
      </c>
      <c r="B41" s="2"/>
      <c r="C41" s="2"/>
      <c r="D41" s="2"/>
      <c r="E41" s="14">
        <f>COUNTIF(N6:N35,"Completado")</f>
        <v>5</v>
      </c>
    </row>
    <row r="42" spans="1:19" ht="19.5" customHeight="1" x14ac:dyDescent="0.25">
      <c r="A42" s="3" t="s">
        <v>86</v>
      </c>
      <c r="B42" s="3"/>
      <c r="C42" s="3"/>
      <c r="D42" s="3"/>
      <c r="E42" s="13">
        <f>COUNTIF(O6:O35,"Sí")</f>
        <v>5</v>
      </c>
    </row>
    <row r="43" spans="1:19" ht="19.5" customHeight="1" x14ac:dyDescent="0.25">
      <c r="A43" s="2" t="s">
        <v>87</v>
      </c>
      <c r="B43" s="2"/>
      <c r="C43" s="2"/>
      <c r="D43" s="2"/>
      <c r="E43" s="14">
        <f>COUNTIF(P6:P35,"Sí")</f>
        <v>5</v>
      </c>
    </row>
    <row r="44" spans="1:19" ht="19.5" customHeight="1" x14ac:dyDescent="0.25">
      <c r="A44" s="3" t="s">
        <v>88</v>
      </c>
      <c r="B44" s="3"/>
      <c r="C44" s="3"/>
      <c r="D44" s="3"/>
      <c r="E44" s="13">
        <f>COUNTIF(Q6:Q35,"Sí")</f>
        <v>5</v>
      </c>
    </row>
    <row r="45" spans="1:19" ht="19.5" customHeight="1" x14ac:dyDescent="0.25">
      <c r="A45" s="2" t="s">
        <v>89</v>
      </c>
      <c r="B45" s="2"/>
      <c r="C45" s="2"/>
      <c r="D45" s="2"/>
      <c r="E45" s="14">
        <f>COUNTIF(N6:N35,"Pendiente")</f>
        <v>0</v>
      </c>
    </row>
  </sheetData>
  <mergeCells count="12">
    <mergeCell ref="A44:D44"/>
    <mergeCell ref="A45:D45"/>
    <mergeCell ref="A39:D39"/>
    <mergeCell ref="A40:D40"/>
    <mergeCell ref="A41:D41"/>
    <mergeCell ref="A42:D42"/>
    <mergeCell ref="A43:D43"/>
    <mergeCell ref="A1:P1"/>
    <mergeCell ref="A2:P2"/>
    <mergeCell ref="A3:P3"/>
    <mergeCell ref="A37:E37"/>
    <mergeCell ref="A38:D38"/>
  </mergeCells>
  <dataValidations count="5">
    <dataValidation type="list" allowBlank="1" sqref="C6:C200" xr:uid="{00000000-0002-0000-0000-000000000000}">
      <formula1>"Escritorio,Portátil,BYOD - Escritorio,BYOD - Portátil"</formula1>
      <formula2>0</formula2>
    </dataValidation>
    <dataValidation type="list" allowBlank="1" sqref="G6:G200" xr:uid="{00000000-0002-0000-0000-000001000000}">
      <formula1>"Windows 11,Windows 10,macOS Sequoia,macOS Sonoma,Ubuntu 24.04,Ubuntu 22.04,Otro"</formula1>
      <formula2>0</formula2>
    </dataValidation>
    <dataValidation type="list" allowBlank="1" sqref="I6:I200" xr:uid="{00000000-0002-0000-0000-000002000000}">
      <formula1>"Nivel 5 - Seguridad Empresarial,Nivel 4 - Alta Seguridad,Nivel 3 - VIP,Nivel 2 - DevOps,Nivel 1 - Admin"</formula1>
      <formula2>0</formula2>
    </dataValidation>
    <dataValidation type="list" allowBlank="1" sqref="N6:N200" xr:uid="{00000000-0002-0000-0000-000003000000}">
      <formula1>"Completado,Pendiente,No aplica"</formula1>
      <formula2>0</formula2>
    </dataValidation>
    <dataValidation type="list" allowBlank="1" sqref="O6:R200" xr:uid="{00000000-0002-0000-0000-000004000000}">
      <formula1>"Sí,No,N/A"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B23"/>
  <sheetViews>
    <sheetView showGridLines="0" zoomScaleNormal="100" workbookViewId="0"/>
  </sheetViews>
  <sheetFormatPr baseColWidth="10" defaultColWidth="8.7109375" defaultRowHeight="15" x14ac:dyDescent="0.25"/>
  <cols>
    <col min="1" max="1" width="24" customWidth="1"/>
    <col min="2" max="2" width="60" customWidth="1"/>
  </cols>
  <sheetData>
    <row r="1" spans="1:2" ht="27.75" customHeight="1" x14ac:dyDescent="0.25">
      <c r="A1" s="1" t="s">
        <v>90</v>
      </c>
      <c r="B1" s="1"/>
    </row>
    <row r="2" spans="1:2" ht="18" customHeight="1" x14ac:dyDescent="0.25">
      <c r="A2" s="6" t="s">
        <v>91</v>
      </c>
      <c r="B2" s="6"/>
    </row>
    <row r="4" spans="1:2" ht="21.75" customHeight="1" x14ac:dyDescent="0.25">
      <c r="A4" s="15" t="s">
        <v>92</v>
      </c>
      <c r="B4" s="15" t="s">
        <v>93</v>
      </c>
    </row>
    <row r="5" spans="1:2" ht="30" customHeight="1" x14ac:dyDescent="0.25">
      <c r="A5" s="16" t="s">
        <v>3</v>
      </c>
      <c r="B5" s="10" t="s">
        <v>94</v>
      </c>
    </row>
    <row r="6" spans="1:2" ht="30" customHeight="1" x14ac:dyDescent="0.25">
      <c r="A6" s="17" t="s">
        <v>4</v>
      </c>
      <c r="B6" s="12" t="s">
        <v>95</v>
      </c>
    </row>
    <row r="7" spans="1:2" ht="30" customHeight="1" x14ac:dyDescent="0.25">
      <c r="A7" s="16" t="s">
        <v>5</v>
      </c>
      <c r="B7" s="10" t="s">
        <v>96</v>
      </c>
    </row>
    <row r="8" spans="1:2" ht="30" customHeight="1" x14ac:dyDescent="0.25">
      <c r="A8" s="17" t="s">
        <v>6</v>
      </c>
      <c r="B8" s="12" t="s">
        <v>97</v>
      </c>
    </row>
    <row r="9" spans="1:2" ht="30" customHeight="1" x14ac:dyDescent="0.25">
      <c r="A9" s="16" t="s">
        <v>7</v>
      </c>
      <c r="B9" s="10" t="s">
        <v>98</v>
      </c>
    </row>
    <row r="10" spans="1:2" ht="30" customHeight="1" x14ac:dyDescent="0.25">
      <c r="A10" s="17" t="s">
        <v>8</v>
      </c>
      <c r="B10" s="12" t="s">
        <v>99</v>
      </c>
    </row>
    <row r="11" spans="1:2" ht="30" customHeight="1" x14ac:dyDescent="0.25">
      <c r="A11" s="16" t="s">
        <v>9</v>
      </c>
      <c r="B11" s="10" t="s">
        <v>100</v>
      </c>
    </row>
    <row r="12" spans="1:2" ht="30" customHeight="1" x14ac:dyDescent="0.25">
      <c r="A12" s="17" t="s">
        <v>10</v>
      </c>
      <c r="B12" s="12" t="s">
        <v>101</v>
      </c>
    </row>
    <row r="13" spans="1:2" ht="30" customHeight="1" x14ac:dyDescent="0.25">
      <c r="A13" s="16" t="s">
        <v>11</v>
      </c>
      <c r="B13" s="10" t="s">
        <v>102</v>
      </c>
    </row>
    <row r="14" spans="1:2" ht="30" customHeight="1" x14ac:dyDescent="0.25">
      <c r="A14" s="17" t="s">
        <v>12</v>
      </c>
      <c r="B14" s="12" t="s">
        <v>103</v>
      </c>
    </row>
    <row r="15" spans="1:2" ht="30" customHeight="1" x14ac:dyDescent="0.25">
      <c r="A15" s="16" t="s">
        <v>13</v>
      </c>
      <c r="B15" s="10" t="s">
        <v>104</v>
      </c>
    </row>
    <row r="16" spans="1:2" ht="30" customHeight="1" x14ac:dyDescent="0.25">
      <c r="A16" s="17" t="s">
        <v>14</v>
      </c>
      <c r="B16" s="12" t="s">
        <v>105</v>
      </c>
    </row>
    <row r="17" spans="1:2" ht="30" customHeight="1" x14ac:dyDescent="0.25">
      <c r="A17" s="16" t="s">
        <v>15</v>
      </c>
      <c r="B17" s="10" t="s">
        <v>106</v>
      </c>
    </row>
    <row r="18" spans="1:2" ht="30" customHeight="1" x14ac:dyDescent="0.25">
      <c r="A18" s="17" t="s">
        <v>16</v>
      </c>
      <c r="B18" s="12" t="s">
        <v>107</v>
      </c>
    </row>
    <row r="19" spans="1:2" ht="30" customHeight="1" x14ac:dyDescent="0.25">
      <c r="A19" s="16" t="s">
        <v>17</v>
      </c>
      <c r="B19" s="10" t="s">
        <v>108</v>
      </c>
    </row>
    <row r="20" spans="1:2" ht="30" customHeight="1" x14ac:dyDescent="0.25">
      <c r="A20" s="17" t="s">
        <v>18</v>
      </c>
      <c r="B20" s="12" t="s">
        <v>109</v>
      </c>
    </row>
    <row r="21" spans="1:2" ht="30" customHeight="1" x14ac:dyDescent="0.25">
      <c r="A21" s="16" t="s">
        <v>19</v>
      </c>
      <c r="B21" s="10" t="s">
        <v>110</v>
      </c>
    </row>
    <row r="22" spans="1:2" ht="30" customHeight="1" x14ac:dyDescent="0.25">
      <c r="A22" s="17" t="s">
        <v>20</v>
      </c>
      <c r="B22" s="12" t="s">
        <v>111</v>
      </c>
    </row>
    <row r="23" spans="1:2" ht="30" customHeight="1" x14ac:dyDescent="0.25">
      <c r="A23" s="16" t="s">
        <v>21</v>
      </c>
      <c r="B23" s="10" t="s">
        <v>112</v>
      </c>
    </row>
  </sheetData>
  <mergeCells count="2">
    <mergeCell ref="A1:B1"/>
    <mergeCell ref="A2:B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Inventario de Equipos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mvergara@openitnet.com</dc:creator>
  <dc:description/>
  <cp:lastModifiedBy>Mauricio Vergara</cp:lastModifiedBy>
  <cp:revision>0</cp:revision>
  <dcterms:created xsi:type="dcterms:W3CDTF">2026-06-23T07:02:26Z</dcterms:created>
  <dcterms:modified xsi:type="dcterms:W3CDTF">2026-06-23T17:49:10Z</dcterms:modified>
  <dc:language>en-US</dc:language>
</cp:coreProperties>
</file>