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6136D46465E8D83E83CDDBE872FF1DAC6ED406AB" xr6:coauthVersionLast="47" xr6:coauthVersionMax="47" xr10:uidLastSave="{0A47CFF8-15DF-4EC7-A80D-15E3A9AE1C10}"/>
  <bookViews>
    <workbookView xWindow="3945" yWindow="1995" windowWidth="21600" windowHeight="11505" tabRatio="500" xr2:uid="{00000000-000D-0000-FFFF-FFFF00000000}"/>
  </bookViews>
  <sheets>
    <sheet name="Checklist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2" l="1"/>
  <c r="F7" i="2"/>
  <c r="E7" i="2"/>
  <c r="D7" i="2"/>
  <c r="C7" i="2"/>
  <c r="F6" i="2"/>
  <c r="E6" i="2"/>
  <c r="D6" i="2"/>
  <c r="C6" i="2"/>
  <c r="F5" i="2"/>
  <c r="F8" i="2" s="1"/>
  <c r="E5" i="2"/>
  <c r="E8" i="2" s="1"/>
  <c r="D5" i="2"/>
  <c r="C5" i="2"/>
  <c r="C8" i="2" s="1"/>
</calcChain>
</file>

<file path=xl/sharedStrings.xml><?xml version="1.0" encoding="utf-8"?>
<sst xmlns="http://schemas.openxmlformats.org/spreadsheetml/2006/main" count="71" uniqueCount="46">
  <si>
    <t>CIBERPROTECCIÓN PARA PyMES  ·  Capítulo 8 — Equipos de Escritorio y Portátiles</t>
  </si>
  <si>
    <t>Plantilla 8.x — Mantenimiento Programado de Equipos de Escritorio y Portátiles</t>
  </si>
  <si>
    <t>Registre el estado de cada tarea al ejecutar el mantenimiento. El Dashboard se actualiza automáticamente.</t>
  </si>
  <si>
    <t>Equipo / Usuario:</t>
  </si>
  <si>
    <t>Período:</t>
  </si>
  <si>
    <t>Ejecutado por:</t>
  </si>
  <si>
    <t>Frecuencia</t>
  </si>
  <si>
    <t>N°</t>
  </si>
  <si>
    <t>Tarea de mantenimiento</t>
  </si>
  <si>
    <t>Estado</t>
  </si>
  <si>
    <t>Responsable</t>
  </si>
  <si>
    <t>Fecha de ejecución</t>
  </si>
  <si>
    <t>Observaciones</t>
  </si>
  <si>
    <t>MENSUAL</t>
  </si>
  <si>
    <t>Aplicar los parches de seguridad del sistema operativo pendientes del ciclo, distribuidos de forma automatizada desde la plataforma UEM, respetando el despliegue por oleadas (equipos de menor criticidad primero).</t>
  </si>
  <si>
    <t>Pendiente</t>
  </si>
  <si>
    <t>Aplicar las actualizaciones disponibles de las aplicaciones instaladas en los equipos de la flota, validadas previamente en el equipo de pruebas.</t>
  </si>
  <si>
    <t>Aplicar las actualizaciones de firmware y drivers publicadas por el fabricante del dispositivo (BIOS/UEFI, controladores de red, gráficos y almacenamiento).</t>
  </si>
  <si>
    <t>Verificar, dentro de las 72 horas siguientes al cierre del ciclo de parchado, que las actualizaciones distribuidas fueron efectivamente instaladas en la totalidad de los dispositivos del inventario.</t>
  </si>
  <si>
    <t>Revisar, desde la consola centralizada, que el 100% de los dispositivos reporta el agente EDR/antivirus activo y actualizado, e investigar cualquier equipo sin reporte en las últimas 24 horas.</t>
  </si>
  <si>
    <t>Verificar el estado del cifrado de disco (BitLocker en Windows, FileVault en macOS, LUKS en Linux) en la totalidad de la flota y activar el cifrado en cualquier equipo pendiente.</t>
  </si>
  <si>
    <t>Revisar la consola de gestión de copias de seguridad y confirmar que todas las tareas programadas se completaron exitosamente en el último ciclo, resolviendo los fallos identificados.</t>
  </si>
  <si>
    <t>Verificar el espacio disponible en la partición o carpeta de datos del usuario, con especial atención a los perfiles con mayor volumen de archivos de trabajo.</t>
  </si>
  <si>
    <t>TRIMESTRAL</t>
  </si>
  <si>
    <t>Revisar las cuentas locales de los dispositivos —cuenta del colaborador asignado y cuentas de administrador local— y confirmar que no existen cuentas sin propietario, privilegios no justificados o cuentas de exempleados activas.</t>
  </si>
  <si>
    <t>Ejecutar una prueba de restauración de un archivo o carpeta desde la copia de seguridad más reciente, verificando que el proceso completo funciona correctamente.</t>
  </si>
  <si>
    <t>Revisar la lista blanca de dispositivos de almacenamiento extraíble autorizados en la plataforma UEM y los intentos de conexión bloqueados registrados en el período.</t>
  </si>
  <si>
    <t>Verificar el cumplimiento de la política de contraseñas y bloqueo de cuenta (longitud mínima, complejidad, bloqueo tras intentos fallidos) en los equipos no unidos al dominio.</t>
  </si>
  <si>
    <t>Revisar los KRI estructurales de la flota —EDR activo, sistemas operativos en estado EOL, cifrado de disco, equipos sin actividad reciente— y gestionar las desviaciones acumuladas del ciclo mensual.</t>
  </si>
  <si>
    <t>Actualizar el inventario de hardware y software de los equipos y confirmar que la sincronización con la plataforma UEM refleja el estado real de la flota.</t>
  </si>
  <si>
    <t>Auditar una muestra representativa de equipos contra la línea base de hardening (Security Baselines, guías de Apple o CIS Benchmarks / Lynis) y documentar las desviaciones encontradas.</t>
  </si>
  <si>
    <t>ANUAL</t>
  </si>
  <si>
    <t>Realizar una auditoría completa de la flota contra la línea base de hardening definida para cada perfil SECCON e identificar desviaciones sistemáticas.</t>
  </si>
  <si>
    <t>Revisar y actualizar la Política de Uso de Equipos de Escritorio y Portátiles, la Política de Gestión de Parches y Actualizaciones, y la Política de Trabajo Remoto y BYOD.</t>
  </si>
  <si>
    <t>Ejecutar un simulacro completo de recuperación de un equipo desde cero —reimagen del sistema operativo y restauración de la copia de seguridad de datos del usuario— midiendo el tiempo de recuperación efectivo.</t>
  </si>
  <si>
    <t>Revisar los contratos de soporte, garantía y licenciamiento del parque de equipos, e identificar dispositivos o sistemas operativos que alcanzarán fin de soporte durante el año.</t>
  </si>
  <si>
    <t>Revisar el proceso de incorporación y retiro de dispositivos, y depurar las excepciones acumuladas en la lista blanca de instalación de software.</t>
  </si>
  <si>
    <t>TOTAL TAREAS</t>
  </si>
  <si>
    <t>Dashboard — Estado del Mantenimiento Programado</t>
  </si>
  <si>
    <t>Cambie el estado de cada tarea en la hoja Checklist. Este dashboard se actualiza automáticamente.</t>
  </si>
  <si>
    <t>Total tareas</t>
  </si>
  <si>
    <t>En progreso</t>
  </si>
  <si>
    <t>Completada</t>
  </si>
  <si>
    <t>No aplica</t>
  </si>
  <si>
    <t>TOTAL GENERAL</t>
  </si>
  <si>
    <t>Nota: cambie el estado de cada tarea en la hoja Checklist. Este dashboard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</si>
</sst>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0"/>
      <color rgb="FF5F5E5A"/>
      <name val="Georgia"/>
      <charset val="1"/>
    </font>
    <font>
      <b/>
      <sz val="14"/>
      <color rgb="FFFFFFFF"/>
      <name val="Georgia"/>
      <charset val="1"/>
    </font>
    <font>
      <i/>
      <sz val="9"/>
      <color rgb="FF5F5E5A"/>
      <name val="Calibri"/>
      <charset val="1"/>
    </font>
    <font>
      <b/>
      <sz val="10"/>
      <color rgb="FF000000"/>
      <name val="Calibri"/>
      <charset val="1"/>
    </font>
    <font>
      <b/>
      <sz val="10"/>
      <color rgb="FFFFFFFF"/>
      <name val="Calibri"/>
      <charset val="1"/>
    </font>
    <font>
      <b/>
      <sz val="9"/>
      <color rgb="FF185FA5"/>
      <name val="Calibri"/>
      <charset val="1"/>
    </font>
    <font>
      <sz val="9"/>
      <color rgb="FF000000"/>
      <name val="Calibri"/>
      <charset val="1"/>
    </font>
    <font>
      <b/>
      <sz val="9"/>
      <color rgb="FF3B6D11"/>
      <name val="Calibri"/>
      <charset val="1"/>
    </font>
    <font>
      <b/>
      <sz val="9"/>
      <color rgb="FFBA7517"/>
      <name val="Calibri"/>
      <charset val="1"/>
    </font>
    <font>
      <b/>
      <sz val="10"/>
      <color rgb="FF185FA5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85FA5"/>
        <bgColor rgb="FF008080"/>
      </patternFill>
    </fill>
    <fill>
      <patternFill patternType="solid">
        <fgColor rgb="FFD6E4F0"/>
        <bgColor rgb="FFD5E8D4"/>
      </patternFill>
    </fill>
    <fill>
      <patternFill patternType="solid">
        <fgColor rgb="FFD5E8D4"/>
        <bgColor rgb="FFD6E4F0"/>
      </patternFill>
    </fill>
    <fill>
      <patternFill patternType="solid">
        <fgColor rgb="FFFFE6CC"/>
        <bgColor rgb="FFF2F2F2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5" fillId="3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2F2F2"/>
      <rgbColor rgb="FFCCFFFF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E6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zoomScaleNormal="100" workbookViewId="0">
      <pane ySplit="5" topLeftCell="A21" activePane="bottomLeft" state="frozen"/>
      <selection pane="bottomLeft" sqref="A1:G1"/>
    </sheetView>
  </sheetViews>
  <sheetFormatPr baseColWidth="10" defaultColWidth="8.7109375" defaultRowHeight="15" x14ac:dyDescent="0.25"/>
  <cols>
    <col min="1" max="1" width="14" customWidth="1"/>
    <col min="2" max="2" width="5" customWidth="1"/>
    <col min="3" max="3" width="60" customWidth="1"/>
    <col min="4" max="4" width="16" customWidth="1"/>
    <col min="5" max="5" width="22" customWidth="1"/>
    <col min="6" max="6" width="18" customWidth="1"/>
    <col min="7" max="7" width="35" customWidth="1"/>
  </cols>
  <sheetData>
    <row r="1" spans="1:7" ht="13.5" customHeight="1" x14ac:dyDescent="0.25">
      <c r="A1" s="9" t="s">
        <v>0</v>
      </c>
      <c r="B1" s="9"/>
      <c r="C1" s="9"/>
      <c r="D1" s="9"/>
      <c r="E1" s="9"/>
      <c r="F1" s="9"/>
      <c r="G1" s="9"/>
    </row>
    <row r="2" spans="1:7" ht="27.75" customHeight="1" x14ac:dyDescent="0.25">
      <c r="A2" s="8" t="s">
        <v>1</v>
      </c>
      <c r="B2" s="8"/>
      <c r="C2" s="8"/>
      <c r="D2" s="8"/>
      <c r="E2" s="8"/>
      <c r="F2" s="8"/>
      <c r="G2" s="8"/>
    </row>
    <row r="3" spans="1:7" ht="19.5" customHeight="1" x14ac:dyDescent="0.25">
      <c r="A3" s="7" t="s">
        <v>2</v>
      </c>
      <c r="B3" s="7"/>
      <c r="C3" s="7"/>
      <c r="D3" s="7"/>
      <c r="E3" s="7"/>
      <c r="F3" s="7"/>
      <c r="G3" s="7"/>
    </row>
    <row r="4" spans="1:7" ht="15.75" customHeight="1" x14ac:dyDescent="0.25">
      <c r="A4" s="10" t="s">
        <v>3</v>
      </c>
      <c r="B4" s="6"/>
      <c r="C4" s="6"/>
      <c r="D4" s="10" t="s">
        <v>4</v>
      </c>
      <c r="F4" s="10" t="s">
        <v>5</v>
      </c>
    </row>
    <row r="5" spans="1:7" ht="24" customHeight="1" x14ac:dyDescent="0.25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</row>
    <row r="6" spans="1:7" ht="45" customHeight="1" x14ac:dyDescent="0.25">
      <c r="A6" s="5" t="s">
        <v>13</v>
      </c>
      <c r="B6" s="12">
        <v>1</v>
      </c>
      <c r="C6" s="13" t="s">
        <v>14</v>
      </c>
      <c r="D6" s="12" t="s">
        <v>15</v>
      </c>
      <c r="E6" s="12"/>
      <c r="F6" s="12"/>
      <c r="G6" s="13"/>
    </row>
    <row r="7" spans="1:7" ht="45" customHeight="1" x14ac:dyDescent="0.25">
      <c r="A7" s="5"/>
      <c r="B7" s="12">
        <v>2</v>
      </c>
      <c r="C7" s="13" t="s">
        <v>16</v>
      </c>
      <c r="D7" s="12" t="s">
        <v>15</v>
      </c>
      <c r="E7" s="12"/>
      <c r="F7" s="12"/>
      <c r="G7" s="13"/>
    </row>
    <row r="8" spans="1:7" ht="45" customHeight="1" x14ac:dyDescent="0.25">
      <c r="A8" s="5"/>
      <c r="B8" s="12">
        <v>3</v>
      </c>
      <c r="C8" s="13" t="s">
        <v>17</v>
      </c>
      <c r="D8" s="12" t="s">
        <v>15</v>
      </c>
      <c r="E8" s="12"/>
      <c r="F8" s="12"/>
      <c r="G8" s="13"/>
    </row>
    <row r="9" spans="1:7" ht="45" customHeight="1" x14ac:dyDescent="0.25">
      <c r="A9" s="5"/>
      <c r="B9" s="12">
        <v>4</v>
      </c>
      <c r="C9" s="13" t="s">
        <v>18</v>
      </c>
      <c r="D9" s="12" t="s">
        <v>15</v>
      </c>
      <c r="E9" s="12"/>
      <c r="F9" s="12"/>
      <c r="G9" s="13"/>
    </row>
    <row r="10" spans="1:7" ht="45" customHeight="1" x14ac:dyDescent="0.25">
      <c r="A10" s="5"/>
      <c r="B10" s="12">
        <v>5</v>
      </c>
      <c r="C10" s="13" t="s">
        <v>19</v>
      </c>
      <c r="D10" s="12" t="s">
        <v>15</v>
      </c>
      <c r="E10" s="12"/>
      <c r="F10" s="12"/>
      <c r="G10" s="13"/>
    </row>
    <row r="11" spans="1:7" ht="45" customHeight="1" x14ac:dyDescent="0.25">
      <c r="A11" s="5"/>
      <c r="B11" s="12">
        <v>6</v>
      </c>
      <c r="C11" s="13" t="s">
        <v>20</v>
      </c>
      <c r="D11" s="12" t="s">
        <v>15</v>
      </c>
      <c r="E11" s="12"/>
      <c r="F11" s="12"/>
      <c r="G11" s="13"/>
    </row>
    <row r="12" spans="1:7" ht="45" customHeight="1" x14ac:dyDescent="0.25">
      <c r="A12" s="5"/>
      <c r="B12" s="12">
        <v>7</v>
      </c>
      <c r="C12" s="13" t="s">
        <v>21</v>
      </c>
      <c r="D12" s="12" t="s">
        <v>15</v>
      </c>
      <c r="E12" s="12"/>
      <c r="F12" s="12"/>
      <c r="G12" s="13"/>
    </row>
    <row r="13" spans="1:7" ht="45" customHeight="1" x14ac:dyDescent="0.25">
      <c r="A13" s="5"/>
      <c r="B13" s="12">
        <v>8</v>
      </c>
      <c r="C13" s="13" t="s">
        <v>22</v>
      </c>
      <c r="D13" s="12" t="s">
        <v>15</v>
      </c>
      <c r="E13" s="12"/>
      <c r="F13" s="12"/>
      <c r="G13" s="13"/>
    </row>
    <row r="14" spans="1:7" ht="45" customHeight="1" x14ac:dyDescent="0.25">
      <c r="A14" s="4" t="s">
        <v>23</v>
      </c>
      <c r="B14" s="12">
        <v>1</v>
      </c>
      <c r="C14" s="13" t="s">
        <v>24</v>
      </c>
      <c r="D14" s="12" t="s">
        <v>15</v>
      </c>
      <c r="E14" s="12"/>
      <c r="F14" s="12"/>
      <c r="G14" s="13"/>
    </row>
    <row r="15" spans="1:7" ht="45" customHeight="1" x14ac:dyDescent="0.25">
      <c r="A15" s="4"/>
      <c r="B15" s="12">
        <v>2</v>
      </c>
      <c r="C15" s="13" t="s">
        <v>25</v>
      </c>
      <c r="D15" s="12" t="s">
        <v>15</v>
      </c>
      <c r="E15" s="12"/>
      <c r="F15" s="12"/>
      <c r="G15" s="13"/>
    </row>
    <row r="16" spans="1:7" ht="45" customHeight="1" x14ac:dyDescent="0.25">
      <c r="A16" s="4"/>
      <c r="B16" s="12">
        <v>3</v>
      </c>
      <c r="C16" s="13" t="s">
        <v>26</v>
      </c>
      <c r="D16" s="12" t="s">
        <v>15</v>
      </c>
      <c r="E16" s="12"/>
      <c r="F16" s="12"/>
      <c r="G16" s="13"/>
    </row>
    <row r="17" spans="1:7" ht="45" customHeight="1" x14ac:dyDescent="0.25">
      <c r="A17" s="4"/>
      <c r="B17" s="12">
        <v>4</v>
      </c>
      <c r="C17" s="13" t="s">
        <v>27</v>
      </c>
      <c r="D17" s="12" t="s">
        <v>15</v>
      </c>
      <c r="E17" s="12"/>
      <c r="F17" s="12"/>
      <c r="G17" s="13"/>
    </row>
    <row r="18" spans="1:7" ht="45" customHeight="1" x14ac:dyDescent="0.25">
      <c r="A18" s="4"/>
      <c r="B18" s="12">
        <v>5</v>
      </c>
      <c r="C18" s="13" t="s">
        <v>28</v>
      </c>
      <c r="D18" s="12" t="s">
        <v>15</v>
      </c>
      <c r="E18" s="12"/>
      <c r="F18" s="12"/>
      <c r="G18" s="13"/>
    </row>
    <row r="19" spans="1:7" ht="45" customHeight="1" x14ac:dyDescent="0.25">
      <c r="A19" s="4"/>
      <c r="B19" s="12">
        <v>6</v>
      </c>
      <c r="C19" s="13" t="s">
        <v>29</v>
      </c>
      <c r="D19" s="12" t="s">
        <v>15</v>
      </c>
      <c r="E19" s="12"/>
      <c r="F19" s="12"/>
      <c r="G19" s="13"/>
    </row>
    <row r="20" spans="1:7" ht="45" customHeight="1" x14ac:dyDescent="0.25">
      <c r="A20" s="4"/>
      <c r="B20" s="12">
        <v>7</v>
      </c>
      <c r="C20" s="13" t="s">
        <v>30</v>
      </c>
      <c r="D20" s="12" t="s">
        <v>15</v>
      </c>
      <c r="E20" s="12"/>
      <c r="F20" s="12"/>
      <c r="G20" s="13"/>
    </row>
    <row r="21" spans="1:7" ht="45" customHeight="1" x14ac:dyDescent="0.25">
      <c r="A21" s="3" t="s">
        <v>31</v>
      </c>
      <c r="B21" s="12">
        <v>1</v>
      </c>
      <c r="C21" s="13" t="s">
        <v>32</v>
      </c>
      <c r="D21" s="12" t="s">
        <v>15</v>
      </c>
      <c r="E21" s="12"/>
      <c r="F21" s="12"/>
      <c r="G21" s="13"/>
    </row>
    <row r="22" spans="1:7" ht="45" customHeight="1" x14ac:dyDescent="0.25">
      <c r="A22" s="3"/>
      <c r="B22" s="12">
        <v>2</v>
      </c>
      <c r="C22" s="13" t="s">
        <v>33</v>
      </c>
      <c r="D22" s="12" t="s">
        <v>15</v>
      </c>
      <c r="E22" s="12"/>
      <c r="F22" s="12"/>
      <c r="G22" s="13"/>
    </row>
    <row r="23" spans="1:7" ht="45" customHeight="1" x14ac:dyDescent="0.25">
      <c r="A23" s="3"/>
      <c r="B23" s="12">
        <v>3</v>
      </c>
      <c r="C23" s="13" t="s">
        <v>34</v>
      </c>
      <c r="D23" s="12" t="s">
        <v>15</v>
      </c>
      <c r="E23" s="12"/>
      <c r="F23" s="12"/>
      <c r="G23" s="13"/>
    </row>
    <row r="24" spans="1:7" ht="45" customHeight="1" x14ac:dyDescent="0.25">
      <c r="A24" s="3"/>
      <c r="B24" s="12">
        <v>4</v>
      </c>
      <c r="C24" s="13" t="s">
        <v>35</v>
      </c>
      <c r="D24" s="12" t="s">
        <v>15</v>
      </c>
      <c r="E24" s="12"/>
      <c r="F24" s="12"/>
      <c r="G24" s="13"/>
    </row>
    <row r="25" spans="1:7" ht="45" customHeight="1" x14ac:dyDescent="0.25">
      <c r="A25" s="3"/>
      <c r="B25" s="12">
        <v>5</v>
      </c>
      <c r="C25" s="13" t="s">
        <v>36</v>
      </c>
      <c r="D25" s="12" t="s">
        <v>15</v>
      </c>
      <c r="E25" s="12"/>
      <c r="F25" s="12"/>
      <c r="G25" s="13"/>
    </row>
    <row r="26" spans="1:7" x14ac:dyDescent="0.25">
      <c r="A26" s="2" t="s">
        <v>37</v>
      </c>
      <c r="B26" s="2"/>
      <c r="C26">
        <v>20</v>
      </c>
    </row>
  </sheetData>
  <mergeCells count="8">
    <mergeCell ref="A14:A20"/>
    <mergeCell ref="A21:A25"/>
    <mergeCell ref="A26:B26"/>
    <mergeCell ref="A1:G1"/>
    <mergeCell ref="A2:G2"/>
    <mergeCell ref="A3:G3"/>
    <mergeCell ref="B4:C4"/>
    <mergeCell ref="A6:A13"/>
  </mergeCells>
  <dataValidations count="1">
    <dataValidation type="list" showErrorMessage="1" errorTitle="Valor no válido" error="Seleccione una opción de la lista." sqref="D6:D25" xr:uid="{00000000-0002-0000-0000-000000000000}">
      <formula1>"Pendiente,En progreso,Completada,No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zoomScaleNormal="100" workbookViewId="0"/>
  </sheetViews>
  <sheetFormatPr baseColWidth="10" defaultColWidth="8.7109375" defaultRowHeight="15" x14ac:dyDescent="0.25"/>
  <cols>
    <col min="1" max="1" width="18" customWidth="1"/>
    <col min="2" max="6" width="14" customWidth="1"/>
  </cols>
  <sheetData>
    <row r="1" spans="1:6" x14ac:dyDescent="0.25">
      <c r="A1" s="9" t="s">
        <v>0</v>
      </c>
      <c r="B1" s="9"/>
      <c r="C1" s="9"/>
      <c r="D1" s="9"/>
      <c r="E1" s="9"/>
      <c r="F1" s="9"/>
    </row>
    <row r="2" spans="1:6" ht="18" x14ac:dyDescent="0.25">
      <c r="A2" s="8" t="s">
        <v>38</v>
      </c>
      <c r="B2" s="8"/>
      <c r="C2" s="8"/>
      <c r="D2" s="8"/>
      <c r="E2" s="8"/>
      <c r="F2" s="8"/>
    </row>
    <row r="3" spans="1:6" x14ac:dyDescent="0.25">
      <c r="A3" s="7" t="s">
        <v>39</v>
      </c>
      <c r="B3" s="7"/>
      <c r="C3" s="7"/>
      <c r="D3" s="7"/>
      <c r="E3" s="7"/>
      <c r="F3" s="7"/>
    </row>
    <row r="4" spans="1:6" x14ac:dyDescent="0.25">
      <c r="A4" s="11" t="s">
        <v>6</v>
      </c>
      <c r="B4" s="11" t="s">
        <v>40</v>
      </c>
      <c r="C4" s="11" t="s">
        <v>15</v>
      </c>
      <c r="D4" s="11" t="s">
        <v>41</v>
      </c>
      <c r="E4" s="11" t="s">
        <v>42</v>
      </c>
      <c r="F4" s="11" t="s">
        <v>43</v>
      </c>
    </row>
    <row r="5" spans="1:6" x14ac:dyDescent="0.25">
      <c r="A5" s="15" t="s">
        <v>13</v>
      </c>
      <c r="B5" s="16">
        <v>8</v>
      </c>
      <c r="C5" s="12">
        <f>COUNTIF(Checklist!D6:D13,"Pendiente")</f>
        <v>8</v>
      </c>
      <c r="D5" s="12">
        <f>COUNTIF(Checklist!D6:D13,"En progreso")</f>
        <v>0</v>
      </c>
      <c r="E5" s="12">
        <f>COUNTIF(Checklist!D6:D13,"Completada")</f>
        <v>0</v>
      </c>
      <c r="F5" s="12">
        <f>COUNTIF(Checklist!D6:D13,"No aplica")</f>
        <v>0</v>
      </c>
    </row>
    <row r="6" spans="1:6" x14ac:dyDescent="0.25">
      <c r="A6" s="15" t="s">
        <v>23</v>
      </c>
      <c r="B6" s="16">
        <v>7</v>
      </c>
      <c r="C6" s="12">
        <f>COUNTIF(Checklist!D14:D20,"Pendiente")</f>
        <v>7</v>
      </c>
      <c r="D6" s="12">
        <f>COUNTIF(Checklist!D14:D20,"En progreso")</f>
        <v>0</v>
      </c>
      <c r="E6" s="12">
        <f>COUNTIF(Checklist!D14:D20,"Completada")</f>
        <v>0</v>
      </c>
      <c r="F6" s="12">
        <f>COUNTIF(Checklist!D14:D20,"No aplica")</f>
        <v>0</v>
      </c>
    </row>
    <row r="7" spans="1:6" x14ac:dyDescent="0.25">
      <c r="A7" s="15" t="s">
        <v>31</v>
      </c>
      <c r="B7" s="16">
        <v>5</v>
      </c>
      <c r="C7" s="12">
        <f>COUNTIF(Checklist!D21:D25,"Pendiente")</f>
        <v>5</v>
      </c>
      <c r="D7" s="12">
        <f>COUNTIF(Checklist!D21:D25,"En progreso")</f>
        <v>0</v>
      </c>
      <c r="E7" s="12">
        <f>COUNTIF(Checklist!D21:D25,"Completada")</f>
        <v>0</v>
      </c>
      <c r="F7" s="12">
        <f>COUNTIF(Checklist!D21:D25,"No aplica")</f>
        <v>0</v>
      </c>
    </row>
    <row r="8" spans="1:6" x14ac:dyDescent="0.25">
      <c r="A8" s="14" t="s">
        <v>44</v>
      </c>
      <c r="B8" s="16">
        <v>20</v>
      </c>
      <c r="C8" s="12">
        <f>SUM(C5:C7)</f>
        <v>20</v>
      </c>
      <c r="D8" s="12">
        <f>SUM(D5:D7)</f>
        <v>0</v>
      </c>
      <c r="E8" s="12">
        <f>SUM(E5:E7)</f>
        <v>0</v>
      </c>
      <c r="F8" s="12">
        <f>SUM(F5:F7)</f>
        <v>0</v>
      </c>
    </row>
    <row r="10" spans="1:6" x14ac:dyDescent="0.25">
      <c r="A10" s="1" t="s">
        <v>45</v>
      </c>
      <c r="B10" s="1"/>
      <c r="C10" s="1"/>
      <c r="D10" s="1"/>
      <c r="E10" s="1"/>
      <c r="F10" s="1"/>
    </row>
  </sheetData>
  <mergeCells count="4">
    <mergeCell ref="A1:F1"/>
    <mergeCell ref="A2:F2"/>
    <mergeCell ref="A3:F3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2026-09-09T18:12:21Z</dcterms:created>
  <dcterms:modified xsi:type="dcterms:W3CDTF">2026-09-09T18:46:45Z</dcterms:modified>
  <dc:language>en-US</dc:language>
</cp:coreProperties>
</file>