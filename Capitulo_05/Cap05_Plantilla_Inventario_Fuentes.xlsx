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9365F46D1F589F83076C78A6F35C16048695C0FE" xr6:coauthVersionLast="47" xr6:coauthVersionMax="47" xr10:uidLastSave="{A255BCAA-D041-42B5-B0E5-EB9D0889308F}"/>
  <bookViews>
    <workbookView xWindow="30825" yWindow="1170" windowWidth="22620" windowHeight="13050" tabRatio="500" xr2:uid="{00000000-000D-0000-FFFF-FFFF00000000}"/>
  </bookViews>
  <sheets>
    <sheet name="Inventario de Fuentes" sheetId="1" r:id="rId1"/>
    <sheet name="Instructiv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5" i="1" l="1"/>
  <c r="L25" i="1"/>
  <c r="J25" i="1"/>
  <c r="H25" i="1"/>
</calcChain>
</file>

<file path=xl/sharedStrings.xml><?xml version="1.0" encoding="utf-8"?>
<sst xmlns="http://schemas.openxmlformats.org/spreadsheetml/2006/main" count="81" uniqueCount="61">
  <si>
    <t>Ciberprotección para PyMES  ·  Capítulo 5 — Datos</t>
  </si>
  <si>
    <t>Plantilla 5.1 — Inventario de Fuentes de Información</t>
  </si>
  <si>
    <t>Complete una fila por fuente de información identificada. Los campos con * son obligatorios. Las listas desplegables se activan al hacer clic en cada celda.</t>
  </si>
  <si>
    <t>Nombre de la fuente *</t>
  </si>
  <si>
    <t>Función en la empresa *</t>
  </si>
  <si>
    <t>Tipo de información *</t>
  </si>
  <si>
    <t>Criticidad *</t>
  </si>
  <si>
    <t>Ubicación *</t>
  </si>
  <si>
    <t>Servidor / URL de acceso</t>
  </si>
  <si>
    <t>Ruta de archivos de trabajo</t>
  </si>
  <si>
    <t>Tamaño datos (GB)</t>
  </si>
  <si>
    <t>Motor de Base de Datos</t>
  </si>
  <si>
    <t>Ruta de Base de Datos</t>
  </si>
  <si>
    <t>Tamaño BD (GB)</t>
  </si>
  <si>
    <t>Propietario de la información *</t>
  </si>
  <si>
    <t>Acceso externo *</t>
  </si>
  <si>
    <t>Observaciones</t>
  </si>
  <si>
    <t>Siigo / Contapyme</t>
  </si>
  <si>
    <t>Gestión contable y tributaria</t>
  </si>
  <si>
    <t>Financiera</t>
  </si>
  <si>
    <t>Crítica</t>
  </si>
  <si>
    <t>On-premise</t>
  </si>
  <si>
    <t>SRV-ERP-01</t>
  </si>
  <si>
    <t>D:\Documentos\Contabilidad</t>
  </si>
  <si>
    <t>Microsoft SQL Server</t>
  </si>
  <si>
    <t>C:\Siigo\db</t>
  </si>
  <si>
    <t>Director Financiero</t>
  </si>
  <si>
    <t>No</t>
  </si>
  <si>
    <t>Fila de ejemplo — reemplazar con datos reales</t>
  </si>
  <si>
    <t>Total fuentes registradas:</t>
  </si>
  <si>
    <t>Críticas:</t>
  </si>
  <si>
    <t>Altas:</t>
  </si>
  <si>
    <t>Medias:</t>
  </si>
  <si>
    <t>github.com/MauricioVergaraMPC/ciberpymes  ·  Ciberprotección para PyMES — Capítulo 5, Función de Identificación</t>
  </si>
  <si>
    <t>Instructivo de uso — Plantilla 5.1</t>
  </si>
  <si>
    <t>Campo</t>
  </si>
  <si>
    <t>Obligatorio</t>
  </si>
  <si>
    <t>Descripción y ejemplos</t>
  </si>
  <si>
    <t>Nombre de la fuente</t>
  </si>
  <si>
    <t>Sí</t>
  </si>
  <si>
    <t>Nombre comercial del sistema, aplicación o repositorio. Ej: Siigo, SAP B1, Microsoft SharePoint, Google Drive, NAS Oficina.</t>
  </si>
  <si>
    <t>Función en la empresa</t>
  </si>
  <si>
    <t>Rol operativo que cumple la fuente. Ej: Gestión contable, control de inventarios, repositorio de contratos, comunicaciones internas.</t>
  </si>
  <si>
    <t>Tipo de información</t>
  </si>
  <si>
    <t>Categoría del contenido. Opciones: Financiera, Clientes (PII), Personal / RRHH, Propiedad intelectual, Operativa interna, Legal / Contractual.</t>
  </si>
  <si>
    <t>Criticidad</t>
  </si>
  <si>
    <t>Crítica: sin ella la empresa no puede operar. Alta: dificulta gravemente la operación. Media: impacta pero es manejable temporalmente. Baja: no afecta el modelo de negocio.</t>
  </si>
  <si>
    <t>Ubicación</t>
  </si>
  <si>
    <t>Opciones: On-premise, Nube (SaaS), Nube (IaaS), Dispositivo local, NAS / disco externo, Híbrido.</t>
  </si>
  <si>
    <t>Nombre del servidor (fuentes on-premise) o URL (servicios en la nube). Ej: SRV-ERP-01, app.micrm.com, sharepoint.com/sites/contab.</t>
  </si>
  <si>
    <t>Ruta donde residen los documentos de usuario. Solo aplica para fuentes on-premise. Ej: D:\Documentos\Contabilidad.</t>
  </si>
  <si>
    <t>Espacio en disco consumido por los archivos. Para SaaS, revisar el panel de administración del proveedor.</t>
  </si>
  <si>
    <t>Solo para fuentes con BD propia. Opciones: SQL Server, MySQL, MariaDB, PostgreSQL, Oracle DB, MongoDB. Para SaaS: 'Gestionado por el proveedor'.</t>
  </si>
  <si>
    <t>Ubicación de los archivos de BD en el servidor (solo on-premise). Ej: C:\Siigo\db.</t>
  </si>
  <si>
    <t>Espacio en disco consumido por la base de datos.</t>
  </si>
  <si>
    <t>Propietario de la información</t>
  </si>
  <si>
    <t>Cargo del responsable funcional que decide sobre acceso, retención y eliminación. Ej: Director Financiero, Gerente Comercial, Jefe de RRHH.</t>
  </si>
  <si>
    <t>Acceso externo</t>
  </si>
  <si>
    <t>¿La fuente es accesible desde fuera de la red corporativa? Opciones: Sí / No. Las fuentes accesibles desde Internet con contenido Confidencial requieren controles adicionales.</t>
  </si>
  <si>
    <t>Cualquier dato adicional relevante: estado de la fuente, dependencias con otros sistemas, restricciones de acceso especiales, fechas de próxima revisión.</t>
  </si>
  <si>
    <t>Nota práctica: use las entrevistas por área funcional, la revisión de facturas de software y un escaneo de red (Nmap / Lansweeper) para identificar fuentes que TI desconoce. El inventario nunca estará al 100%, pero cada fuente identificada pasa de invisible a gestionable.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</si>
</sst>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Georgia"/>
      <charset val="1"/>
    </font>
    <font>
      <b/>
      <sz val="11"/>
      <color rgb="FF185FA5"/>
      <name val="Calibri"/>
      <charset val="1"/>
    </font>
    <font>
      <i/>
      <sz val="9"/>
      <color rgb="FF5F5E5A"/>
      <name val="Calibri"/>
      <charset val="1"/>
    </font>
    <font>
      <b/>
      <sz val="9"/>
      <color rgb="FFFFFFFF"/>
      <name val="Calibri"/>
      <charset val="1"/>
    </font>
    <font>
      <i/>
      <sz val="10"/>
      <color rgb="FF555555"/>
      <name val="Calibri"/>
      <charset val="1"/>
    </font>
    <font>
      <sz val="10"/>
      <color rgb="FF000000"/>
      <name val="Calibri"/>
      <charset val="1"/>
    </font>
    <font>
      <b/>
      <sz val="10"/>
      <color rgb="FFFFFFFF"/>
      <name val="Calibri"/>
      <charset val="1"/>
    </font>
    <font>
      <i/>
      <sz val="8"/>
      <color rgb="FF5F5E5A"/>
      <name val="Calibri"/>
      <charset val="1"/>
    </font>
    <font>
      <sz val="9"/>
      <color rgb="FF000000"/>
      <name val="Calibri"/>
      <charset val="1"/>
    </font>
    <font>
      <b/>
      <sz val="9"/>
      <color rgb="FFA32D2D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5D4F4"/>
        <bgColor rgb="FF99CCFF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  <fill>
      <patternFill patternType="solid">
        <fgColor rgb="FFF4F4F2"/>
        <bgColor rgb="FFFAFAF8"/>
      </patternFill>
    </fill>
    <fill>
      <patternFill patternType="solid">
        <fgColor rgb="FF5F5E5A"/>
        <bgColor rgb="FF555555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7" fillId="7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sz val="10"/>
        <color rgb="FFFFFFFF"/>
        <name val="Calibri"/>
        <charset val="1"/>
      </font>
      <fill>
        <patternFill>
          <bgColor rgb="FF3B6D11"/>
        </patternFill>
      </fill>
    </dxf>
    <dxf>
      <font>
        <b/>
        <sz val="10"/>
        <color rgb="FFFFFFFF"/>
        <name val="Calibri"/>
        <charset val="1"/>
      </font>
      <fill>
        <patternFill>
          <bgColor rgb="FFD4C010"/>
        </patternFill>
      </fill>
    </dxf>
    <dxf>
      <font>
        <b/>
        <sz val="10"/>
        <color rgb="FFFFFFFF"/>
        <name val="Calibri"/>
        <charset val="1"/>
      </font>
      <fill>
        <patternFill>
          <bgColor rgb="FFBA7517"/>
        </patternFill>
      </fill>
    </dxf>
    <dxf>
      <font>
        <b/>
        <sz val="10"/>
        <color rgb="FFFFFFFF"/>
        <name val="Calibri"/>
        <charset val="1"/>
      </font>
      <fill>
        <patternFill>
          <bgColor rgb="FFA32D2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AFAF8"/>
      <rgbColor rgb="FFF4F4F2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4C01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tabSelected="1" zoomScaleNormal="100" workbookViewId="0">
      <pane ySplit="4" topLeftCell="A5" activePane="bottomLeft" state="frozen"/>
      <selection pane="bottomLeft" sqref="A1:N1"/>
    </sheetView>
  </sheetViews>
  <sheetFormatPr baseColWidth="10" defaultColWidth="8.7109375" defaultRowHeight="15" x14ac:dyDescent="0.25"/>
  <cols>
    <col min="1" max="1" width="28" customWidth="1"/>
    <col min="2" max="2" width="32" customWidth="1"/>
    <col min="3" max="3" width="22" customWidth="1"/>
    <col min="4" max="5" width="20" customWidth="1"/>
    <col min="6" max="6" width="28" customWidth="1"/>
    <col min="7" max="7" width="32" customWidth="1"/>
    <col min="8" max="8" width="14" customWidth="1"/>
    <col min="9" max="9" width="20" customWidth="1"/>
    <col min="10" max="10" width="32" customWidth="1"/>
    <col min="11" max="11" width="14" customWidth="1"/>
    <col min="12" max="12" width="28" customWidth="1"/>
    <col min="13" max="13" width="18" customWidth="1"/>
    <col min="14" max="14" width="36" customWidth="1"/>
  </cols>
  <sheetData>
    <row r="1" spans="1:14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7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8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36" customHeight="1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</row>
    <row r="5" spans="1:14" ht="25.5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>
        <v>120</v>
      </c>
      <c r="I5" s="8" t="s">
        <v>24</v>
      </c>
      <c r="J5" s="8" t="s">
        <v>25</v>
      </c>
      <c r="K5" s="8">
        <v>85</v>
      </c>
      <c r="L5" s="8" t="s">
        <v>26</v>
      </c>
      <c r="M5" s="8" t="s">
        <v>27</v>
      </c>
      <c r="N5" s="8" t="s">
        <v>28</v>
      </c>
    </row>
    <row r="6" spans="1:14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ht="19.5" customHeight="1" x14ac:dyDescent="0.25">
      <c r="A25" s="3" t="s">
        <v>29</v>
      </c>
      <c r="B25" s="3"/>
      <c r="C25" s="3"/>
      <c r="D25" s="3"/>
      <c r="E25" s="3"/>
      <c r="F25" s="3"/>
      <c r="G25" s="3"/>
      <c r="H25" s="11">
        <f>COUNTA(A5:A24)</f>
        <v>1</v>
      </c>
      <c r="I25" s="11" t="s">
        <v>30</v>
      </c>
      <c r="J25" s="11">
        <f>COUNTIF(D5:D24,"Crítica")</f>
        <v>1</v>
      </c>
      <c r="K25" s="11" t="s">
        <v>31</v>
      </c>
      <c r="L25" s="11">
        <f>COUNTIF(D5:D24,"Alta")</f>
        <v>0</v>
      </c>
      <c r="M25" s="11" t="s">
        <v>32</v>
      </c>
      <c r="N25" s="11">
        <f>COUNTIF(D5:D24,"Media")</f>
        <v>0</v>
      </c>
    </row>
    <row r="26" spans="1:14" ht="15.75" customHeight="1" x14ac:dyDescent="0.25">
      <c r="A26" s="2" t="s">
        <v>33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mergeCells count="5">
    <mergeCell ref="A1:N1"/>
    <mergeCell ref="A2:N2"/>
    <mergeCell ref="A3:N3"/>
    <mergeCell ref="A25:G25"/>
    <mergeCell ref="A26:N26"/>
  </mergeCells>
  <conditionalFormatting sqref="D5:D24">
    <cfRule type="cellIs" dxfId="3" priority="2" operator="equal">
      <formula>"Crítica"</formula>
    </cfRule>
    <cfRule type="cellIs" dxfId="2" priority="3" operator="equal">
      <formula>"Alta"</formula>
    </cfRule>
    <cfRule type="cellIs" dxfId="1" priority="4" operator="equal">
      <formula>"Media"</formula>
    </cfRule>
    <cfRule type="cellIs" dxfId="0" priority="5" operator="equal">
      <formula>"Baja"</formula>
    </cfRule>
  </conditionalFormatting>
  <dataValidations count="5">
    <dataValidation type="list" allowBlank="1" showErrorMessage="1" errorTitle="Valor no válido" error="Seleccione: Crítica, Alta, Media o Baja" sqref="D5:D24" xr:uid="{00000000-0002-0000-0000-000000000000}">
      <formula1>"Crítica,Alta,Media,Baja"</formula1>
      <formula2>0</formula2>
    </dataValidation>
    <dataValidation type="list" allowBlank="1" sqref="E5:E24" xr:uid="{00000000-0002-0000-0000-000001000000}">
      <formula1>"On-premise,Nube (SaaS),Nube (IaaS),Dispositivo local,NAS / disco externo,Híbrido"</formula1>
      <formula2>0</formula2>
    </dataValidation>
    <dataValidation type="list" allowBlank="1" sqref="C5:C24" xr:uid="{00000000-0002-0000-0000-000002000000}">
      <formula1>"Financiera,Clientes (PII),Personal / RRHH,Propiedad intelectual,Operativa interna,Legal / Contractual,Otro"</formula1>
      <formula2>0</formula2>
    </dataValidation>
    <dataValidation type="list" allowBlank="1" sqref="M5:M24" xr:uid="{00000000-0002-0000-0000-000003000000}">
      <formula1>"Sí,No"</formula1>
      <formula2>0</formula2>
    </dataValidation>
    <dataValidation type="list" allowBlank="1" sqref="I5:I24" xr:uid="{00000000-0002-0000-0000-000004000000}">
      <formula1>"Microsoft SQL Server,MySQL,MariaDB,PostgreSQL,Oracle DB,MongoDB,Gestionado por el proveedor,N/A"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showGridLines="0" zoomScaleNormal="100" workbookViewId="0"/>
  </sheetViews>
  <sheetFormatPr baseColWidth="10" defaultColWidth="8.7109375" defaultRowHeight="15" x14ac:dyDescent="0.25"/>
  <cols>
    <col min="1" max="2" width="22" customWidth="1"/>
    <col min="3" max="3" width="60" customWidth="1"/>
  </cols>
  <sheetData>
    <row r="1" spans="1:3" ht="27.75" customHeight="1" x14ac:dyDescent="0.25">
      <c r="A1" s="6" t="s">
        <v>34</v>
      </c>
      <c r="B1" s="6"/>
      <c r="C1" s="6"/>
    </row>
    <row r="2" spans="1:3" ht="21.75" customHeight="1" x14ac:dyDescent="0.25">
      <c r="A2" s="12" t="s">
        <v>35</v>
      </c>
      <c r="B2" s="12" t="s">
        <v>36</v>
      </c>
      <c r="C2" s="12" t="s">
        <v>37</v>
      </c>
    </row>
    <row r="3" spans="1:3" ht="42" customHeight="1" x14ac:dyDescent="0.25">
      <c r="A3" s="13" t="s">
        <v>38</v>
      </c>
      <c r="B3" s="14" t="s">
        <v>39</v>
      </c>
      <c r="C3" s="13" t="s">
        <v>40</v>
      </c>
    </row>
    <row r="4" spans="1:3" ht="42" customHeight="1" x14ac:dyDescent="0.25">
      <c r="A4" s="15" t="s">
        <v>41</v>
      </c>
      <c r="B4" s="16" t="s">
        <v>39</v>
      </c>
      <c r="C4" s="15" t="s">
        <v>42</v>
      </c>
    </row>
    <row r="5" spans="1:3" ht="42" customHeight="1" x14ac:dyDescent="0.25">
      <c r="A5" s="13" t="s">
        <v>43</v>
      </c>
      <c r="B5" s="14" t="s">
        <v>39</v>
      </c>
      <c r="C5" s="13" t="s">
        <v>44</v>
      </c>
    </row>
    <row r="6" spans="1:3" ht="42" customHeight="1" x14ac:dyDescent="0.25">
      <c r="A6" s="15" t="s">
        <v>45</v>
      </c>
      <c r="B6" s="16" t="s">
        <v>39</v>
      </c>
      <c r="C6" s="15" t="s">
        <v>46</v>
      </c>
    </row>
    <row r="7" spans="1:3" ht="42" customHeight="1" x14ac:dyDescent="0.25">
      <c r="A7" s="13" t="s">
        <v>47</v>
      </c>
      <c r="B7" s="14" t="s">
        <v>39</v>
      </c>
      <c r="C7" s="13" t="s">
        <v>48</v>
      </c>
    </row>
    <row r="8" spans="1:3" ht="42" customHeight="1" x14ac:dyDescent="0.25">
      <c r="A8" s="15" t="s">
        <v>8</v>
      </c>
      <c r="B8" s="15" t="s">
        <v>27</v>
      </c>
      <c r="C8" s="15" t="s">
        <v>49</v>
      </c>
    </row>
    <row r="9" spans="1:3" ht="42" customHeight="1" x14ac:dyDescent="0.25">
      <c r="A9" s="13" t="s">
        <v>9</v>
      </c>
      <c r="B9" s="13" t="s">
        <v>27</v>
      </c>
      <c r="C9" s="13" t="s">
        <v>50</v>
      </c>
    </row>
    <row r="10" spans="1:3" ht="42" customHeight="1" x14ac:dyDescent="0.25">
      <c r="A10" s="15" t="s">
        <v>10</v>
      </c>
      <c r="B10" s="15" t="s">
        <v>27</v>
      </c>
      <c r="C10" s="15" t="s">
        <v>51</v>
      </c>
    </row>
    <row r="11" spans="1:3" ht="42" customHeight="1" x14ac:dyDescent="0.25">
      <c r="A11" s="13" t="s">
        <v>11</v>
      </c>
      <c r="B11" s="13" t="s">
        <v>27</v>
      </c>
      <c r="C11" s="13" t="s">
        <v>52</v>
      </c>
    </row>
    <row r="12" spans="1:3" ht="42" customHeight="1" x14ac:dyDescent="0.25">
      <c r="A12" s="15" t="s">
        <v>12</v>
      </c>
      <c r="B12" s="15" t="s">
        <v>27</v>
      </c>
      <c r="C12" s="15" t="s">
        <v>53</v>
      </c>
    </row>
    <row r="13" spans="1:3" ht="42" customHeight="1" x14ac:dyDescent="0.25">
      <c r="A13" s="13" t="s">
        <v>13</v>
      </c>
      <c r="B13" s="13" t="s">
        <v>27</v>
      </c>
      <c r="C13" s="13" t="s">
        <v>54</v>
      </c>
    </row>
    <row r="14" spans="1:3" ht="42" customHeight="1" x14ac:dyDescent="0.25">
      <c r="A14" s="15" t="s">
        <v>55</v>
      </c>
      <c r="B14" s="16" t="s">
        <v>39</v>
      </c>
      <c r="C14" s="15" t="s">
        <v>56</v>
      </c>
    </row>
    <row r="15" spans="1:3" ht="42" customHeight="1" x14ac:dyDescent="0.25">
      <c r="A15" s="13" t="s">
        <v>57</v>
      </c>
      <c r="B15" s="14" t="s">
        <v>39</v>
      </c>
      <c r="C15" s="13" t="s">
        <v>58</v>
      </c>
    </row>
    <row r="16" spans="1:3" ht="42" customHeight="1" x14ac:dyDescent="0.25">
      <c r="A16" s="15" t="s">
        <v>16</v>
      </c>
      <c r="B16" s="15" t="s">
        <v>27</v>
      </c>
      <c r="C16" s="15" t="s">
        <v>59</v>
      </c>
    </row>
    <row r="17" spans="1:3" ht="51.75" customHeight="1" x14ac:dyDescent="0.25">
      <c r="A17" s="1" t="s">
        <v>60</v>
      </c>
      <c r="B17" s="1"/>
      <c r="C17" s="1"/>
    </row>
  </sheetData>
  <mergeCells count="2">
    <mergeCell ref="A1:C1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Fuentes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2026-05-26T13:21:33Z</dcterms:created>
  <dcterms:modified xsi:type="dcterms:W3CDTF">2026-05-26T13:37:14Z</dcterms:modified>
  <dc:language>en-US</dc:language>
</cp:coreProperties>
</file>