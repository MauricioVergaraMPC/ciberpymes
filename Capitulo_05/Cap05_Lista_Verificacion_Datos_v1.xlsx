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F98505167F29573CD65FC1D5EAC42830AE99F8E3" xr6:coauthVersionLast="47" xr6:coauthVersionMax="47" xr10:uidLastSave="{1ED1732C-D8C0-4545-9045-D2646D9A7239}"/>
  <bookViews>
    <workbookView xWindow="30240" yWindow="2295" windowWidth="25140" windowHeight="11835" tabRatio="500" xr2:uid="{00000000-000D-0000-FFFF-FFFF00000000}"/>
  </bookViews>
  <sheets>
    <sheet name="Lista de Verificación" sheetId="1" r:id="rId1"/>
    <sheet name="Dashboard" sheetId="2" r:id="rId2"/>
    <sheet name="Instructivo" sheetId="3" r:id="rId3"/>
  </sheets>
  <definedNames>
    <definedName name="_xlnm._FilterDatabase" localSheetId="0" hidden="1">'Lista de Verificación'!$A$3:$G$37</definedName>
    <definedName name="_xlnm.Print_Titles" localSheetId="0">'Lista de Verificación'!$3:$3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2" l="1"/>
  <c r="E10" i="2"/>
  <c r="D10" i="2"/>
  <c r="C10" i="2"/>
  <c r="B10" i="2"/>
  <c r="G10" i="2" s="1"/>
  <c r="F9" i="2"/>
  <c r="E9" i="2"/>
  <c r="D9" i="2"/>
  <c r="C9" i="2"/>
  <c r="B9" i="2"/>
  <c r="G9" i="2" s="1"/>
  <c r="F8" i="2"/>
  <c r="E8" i="2"/>
  <c r="D8" i="2"/>
  <c r="C8" i="2"/>
  <c r="B8" i="2"/>
  <c r="G8" i="2" s="1"/>
  <c r="F7" i="2"/>
  <c r="E7" i="2"/>
  <c r="D7" i="2"/>
  <c r="C7" i="2"/>
  <c r="B7" i="2"/>
  <c r="G7" i="2" s="1"/>
  <c r="G6" i="2"/>
  <c r="F6" i="2"/>
  <c r="E6" i="2"/>
  <c r="D6" i="2"/>
  <c r="C6" i="2"/>
  <c r="B6" i="2"/>
  <c r="F5" i="2"/>
  <c r="F11" i="2" s="1"/>
  <c r="E5" i="2"/>
  <c r="E11" i="2" s="1"/>
  <c r="D5" i="2"/>
  <c r="D11" i="2" s="1"/>
  <c r="C5" i="2"/>
  <c r="C11" i="2" s="1"/>
  <c r="B5" i="2"/>
  <c r="B11" i="2" l="1"/>
  <c r="G11" i="2" s="1"/>
  <c r="G5" i="2"/>
</calcChain>
</file>

<file path=xl/sharedStrings.xml><?xml version="1.0" encoding="utf-8"?>
<sst xmlns="http://schemas.openxmlformats.org/spreadsheetml/2006/main" count="125" uniqueCount="78">
  <si>
    <t>Lista de Verificación — Cap. 5: Datos</t>
  </si>
  <si>
    <t>Ciberprotección para PyMES · NIST CSF 2.0 · © Mauricio Vergara Manjarrés</t>
  </si>
  <si>
    <t>#</t>
  </si>
  <si>
    <t>Función NIST</t>
  </si>
  <si>
    <t>Ítem de verificación</t>
  </si>
  <si>
    <t>Estado</t>
  </si>
  <si>
    <t>Responsable</t>
  </si>
  <si>
    <t>Fecha</t>
  </si>
  <si>
    <t>Observaciones</t>
  </si>
  <si>
    <t>Función de Gobernanza</t>
  </si>
  <si>
    <t>Definir la Política de Gestión de Datos</t>
  </si>
  <si>
    <t>Pendiente</t>
  </si>
  <si>
    <t>Definir la Tabla de Retención Documental</t>
  </si>
  <si>
    <t>Asignar propietarios de información por dominio funcional</t>
  </si>
  <si>
    <t>Establecer Políticas para Copias de Seguridad</t>
  </si>
  <si>
    <t>Establecer Política de compartición de documentos</t>
  </si>
  <si>
    <t>Función de Identificación</t>
  </si>
  <si>
    <t>Levantar fuentes de información</t>
  </si>
  <si>
    <t>Identificar datos expuestos fuera del perímetro</t>
  </si>
  <si>
    <t>Mapear flujos de datos entre sistemas</t>
  </si>
  <si>
    <t>Priorizar fuentes de información</t>
  </si>
  <si>
    <t>Determinar Indicadores Clave de Riesgo (KRI)</t>
  </si>
  <si>
    <t>Función de Protección</t>
  </si>
  <si>
    <t>(Re)crear repositorios de documentos</t>
  </si>
  <si>
    <t>Segurizar fuentes de información</t>
  </si>
  <si>
    <t>Habilitar conservación de archivos eliminados</t>
  </si>
  <si>
    <t>Cifrar datos en tránsito</t>
  </si>
  <si>
    <t>Controlar el uso de dispositivos de almacenamiento extraíble</t>
  </si>
  <si>
    <t>Instalar software para copias de seguridad</t>
  </si>
  <si>
    <t>Desplegar software anti ransomware</t>
  </si>
  <si>
    <t>Desplegar Política de compartición de documentos</t>
  </si>
  <si>
    <t>Ejecutar revisiones periódicas de acceso (Access Review)</t>
  </si>
  <si>
    <t>Función de Detección</t>
  </si>
  <si>
    <t>Definir Indicadores Clave de Riesgo (KRI)</t>
  </si>
  <si>
    <t>Auditar permisos sobre el sistema de archivos</t>
  </si>
  <si>
    <t>Auditar accesos al sistema de archivos</t>
  </si>
  <si>
    <t>Monitorizar servidor de backups</t>
  </si>
  <si>
    <t>Monitorizar ejecución de copias de seguridad</t>
  </si>
  <si>
    <t>Habilitar auditoría de accesos en motores de bases de datos</t>
  </si>
  <si>
    <t>Detectar transferencias de datos no autorizadas</t>
  </si>
  <si>
    <t>Función de Respuesta</t>
  </si>
  <si>
    <t>Documentar Plan de Recuperación de Desastres</t>
  </si>
  <si>
    <t>Programar restauraciones de prueba</t>
  </si>
  <si>
    <t>Contener el incidente</t>
  </si>
  <si>
    <t>Notificar a las partes afectadas</t>
  </si>
  <si>
    <t>Preservar evidencia antes de restaurar</t>
  </si>
  <si>
    <t>Función de Recuperación</t>
  </si>
  <si>
    <t>Recopilar evidencia forense</t>
  </si>
  <si>
    <t>Ejecutar recuperación de datos</t>
  </si>
  <si>
    <t>Ejecutar análisis post-mortem</t>
  </si>
  <si>
    <t>Dashboard — Estado de Implementación · Cap. 5: Datos</t>
  </si>
  <si>
    <t>Se actualiza automáticamente al modificar la columna Estado de la hoja Lista de Verificación</t>
  </si>
  <si>
    <t>Función</t>
  </si>
  <si>
    <t>Total</t>
  </si>
  <si>
    <t>En proceso</t>
  </si>
  <si>
    <t>Completado</t>
  </si>
  <si>
    <t>No aplica</t>
  </si>
  <si>
    <t>% Avance</t>
  </si>
  <si>
    <t>TOTAL GENERAL</t>
  </si>
  <si>
    <t>% Avance = Completado / (Total − No aplica). Las actividades marcadas como No aplica no se cuentan en el avance.</t>
  </si>
  <si>
    <t>Instructivo — Lista de Verificación Datos</t>
  </si>
  <si>
    <t>Campo</t>
  </si>
  <si>
    <t>Descripción</t>
  </si>
  <si>
    <t>Número secuencial del ítem de verificación.</t>
  </si>
  <si>
    <t>Función del marco NIST CSF 2.0 a la que pertenece el ítem. Se muestra únicamente en la primera fila de cada bloque.</t>
  </si>
  <si>
    <t>Actividad que debe ser verificada por el equipo de TI. Corresponde a una sección del Capítulo 5 — Datos.</t>
  </si>
  <si>
    <t>Seleccione del menú desplegable: Pendiente / En proceso / Completado / No aplica.</t>
  </si>
  <si>
    <t>Nombre o rol de la persona a cargo de ejecutar o verificar el ítem.</t>
  </si>
  <si>
    <t>Fecha de verificación o de último seguimiento (formato DD/MM/AAAA).</t>
  </si>
  <si>
    <t>Notas adicionales, hallazgos, o referencias al ticket de seguimiento en el ITSM.</t>
  </si>
  <si>
    <t>Hoja Dashboard</t>
  </si>
  <si>
    <t>Resume automáticamente la cantidad de ítems en cada estado y el porcentaje de avance por función.</t>
  </si>
  <si>
    <t>Frecuencia sugerida</t>
  </si>
  <si>
    <t>Esta lista debe revisarse al menos trimestralmente. Los ítems de Protección y Respuesta requieren revisión tras cada cambio en las fuentes de información, en el software de copias de seguridad o en la Política de Copias de Seguridad.</t>
  </si>
  <si>
    <t>Fuente</t>
  </si>
  <si>
    <t>Ciberprotección para PyMES — Cap. 5: Datos — NIST CSF 2.0</t>
  </si>
  <si>
    <t>Repositorio</t>
  </si>
  <si>
    <t>https://github.com/MauricioVergaraMPC/ciberpymes/tree/main/Capitulo_05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</si>
</sst>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5F5E5A"/>
      <name val="Calibri"/>
      <charset val="1"/>
    </font>
    <font>
      <b/>
      <sz val="9"/>
      <color rgb="FF185FA5"/>
      <name val="Calibri"/>
      <charset val="1"/>
    </font>
    <font>
      <sz val="9"/>
      <color rgb="FF000000"/>
      <name val="Calibri"/>
      <charset val="1"/>
    </font>
    <font>
      <b/>
      <sz val="10"/>
      <color rgb="FF185FA5"/>
      <name val="Calibri"/>
      <charset val="1"/>
    </font>
    <font>
      <sz val="10"/>
      <color rgb="FF000000"/>
      <name val="Calibri"/>
      <charset val="1"/>
    </font>
    <font>
      <i/>
      <sz val="9"/>
      <color rgb="FF5F5E5A"/>
      <name val="Calibri"/>
      <charset val="1"/>
    </font>
    <font>
      <b/>
      <sz val="13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5F5E5A"/>
        <bgColor rgb="FF3B6D11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D3D1C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i/>
        <color rgb="FF5F5E5A"/>
      </font>
    </dxf>
    <dxf>
      <font>
        <b/>
        <color rgb="FFBA7517"/>
      </font>
    </dxf>
    <dxf>
      <font>
        <b/>
        <color rgb="FF3B6D1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6" customWidth="1"/>
    <col min="2" max="2" width="36" customWidth="1"/>
    <col min="3" max="3" width="58" customWidth="1"/>
    <col min="4" max="4" width="18" customWidth="1"/>
    <col min="5" max="5" width="28" customWidth="1"/>
    <col min="6" max="6" width="18" customWidth="1"/>
    <col min="7" max="7" width="32" customWidth="1"/>
  </cols>
  <sheetData>
    <row r="1" spans="1:7" ht="27.75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21.75" customHeight="1" x14ac:dyDescent="0.25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9.5" customHeight="1" x14ac:dyDescent="0.25">
      <c r="A4" s="6">
        <v>1</v>
      </c>
      <c r="B4" s="7" t="s">
        <v>9</v>
      </c>
      <c r="C4" s="8" t="s">
        <v>10</v>
      </c>
      <c r="D4" s="9" t="s">
        <v>11</v>
      </c>
      <c r="E4" s="8"/>
      <c r="F4" s="10"/>
      <c r="G4" s="8"/>
    </row>
    <row r="5" spans="1:7" ht="19.5" customHeight="1" x14ac:dyDescent="0.25">
      <c r="A5" s="11">
        <v>2</v>
      </c>
      <c r="B5" s="12"/>
      <c r="C5" s="13" t="s">
        <v>12</v>
      </c>
      <c r="D5" s="14" t="s">
        <v>11</v>
      </c>
      <c r="E5" s="13"/>
      <c r="F5" s="15"/>
      <c r="G5" s="13"/>
    </row>
    <row r="6" spans="1:7" ht="19.5" customHeight="1" x14ac:dyDescent="0.25">
      <c r="A6" s="6">
        <v>3</v>
      </c>
      <c r="B6" s="7"/>
      <c r="C6" s="8" t="s">
        <v>13</v>
      </c>
      <c r="D6" s="9" t="s">
        <v>11</v>
      </c>
      <c r="E6" s="8"/>
      <c r="F6" s="10"/>
      <c r="G6" s="8"/>
    </row>
    <row r="7" spans="1:7" ht="19.5" customHeight="1" x14ac:dyDescent="0.25">
      <c r="A7" s="11">
        <v>4</v>
      </c>
      <c r="B7" s="12"/>
      <c r="C7" s="13" t="s">
        <v>14</v>
      </c>
      <c r="D7" s="14" t="s">
        <v>11</v>
      </c>
      <c r="E7" s="13"/>
      <c r="F7" s="15"/>
      <c r="G7" s="13"/>
    </row>
    <row r="8" spans="1:7" ht="19.5" customHeight="1" x14ac:dyDescent="0.25">
      <c r="A8" s="6">
        <v>5</v>
      </c>
      <c r="B8" s="7"/>
      <c r="C8" s="8" t="s">
        <v>15</v>
      </c>
      <c r="D8" s="9" t="s">
        <v>11</v>
      </c>
      <c r="E8" s="8"/>
      <c r="F8" s="10"/>
      <c r="G8" s="8"/>
    </row>
    <row r="9" spans="1:7" ht="19.5" customHeight="1" x14ac:dyDescent="0.25">
      <c r="A9" s="11">
        <v>6</v>
      </c>
      <c r="B9" s="12" t="s">
        <v>16</v>
      </c>
      <c r="C9" s="13" t="s">
        <v>17</v>
      </c>
      <c r="D9" s="14" t="s">
        <v>11</v>
      </c>
      <c r="E9" s="13"/>
      <c r="F9" s="15"/>
      <c r="G9" s="13"/>
    </row>
    <row r="10" spans="1:7" ht="19.5" customHeight="1" x14ac:dyDescent="0.25">
      <c r="A10" s="6">
        <v>7</v>
      </c>
      <c r="B10" s="7"/>
      <c r="C10" s="8" t="s">
        <v>18</v>
      </c>
      <c r="D10" s="9" t="s">
        <v>11</v>
      </c>
      <c r="E10" s="8"/>
      <c r="F10" s="10"/>
      <c r="G10" s="8"/>
    </row>
    <row r="11" spans="1:7" ht="19.5" customHeight="1" x14ac:dyDescent="0.25">
      <c r="A11" s="11">
        <v>8</v>
      </c>
      <c r="B11" s="12"/>
      <c r="C11" s="13" t="s">
        <v>19</v>
      </c>
      <c r="D11" s="14" t="s">
        <v>11</v>
      </c>
      <c r="E11" s="13"/>
      <c r="F11" s="15"/>
      <c r="G11" s="13"/>
    </row>
    <row r="12" spans="1:7" ht="19.5" customHeight="1" x14ac:dyDescent="0.25">
      <c r="A12" s="6">
        <v>9</v>
      </c>
      <c r="B12" s="7"/>
      <c r="C12" s="8" t="s">
        <v>20</v>
      </c>
      <c r="D12" s="9" t="s">
        <v>11</v>
      </c>
      <c r="E12" s="8"/>
      <c r="F12" s="10"/>
      <c r="G12" s="8"/>
    </row>
    <row r="13" spans="1:7" ht="19.5" customHeight="1" x14ac:dyDescent="0.25">
      <c r="A13" s="11">
        <v>10</v>
      </c>
      <c r="B13" s="12"/>
      <c r="C13" s="13" t="s">
        <v>21</v>
      </c>
      <c r="D13" s="14" t="s">
        <v>11</v>
      </c>
      <c r="E13" s="13"/>
      <c r="F13" s="15"/>
      <c r="G13" s="13"/>
    </row>
    <row r="14" spans="1:7" ht="19.5" customHeight="1" x14ac:dyDescent="0.25">
      <c r="A14" s="6">
        <v>11</v>
      </c>
      <c r="B14" s="7" t="s">
        <v>22</v>
      </c>
      <c r="C14" s="8" t="s">
        <v>23</v>
      </c>
      <c r="D14" s="9" t="s">
        <v>11</v>
      </c>
      <c r="E14" s="8"/>
      <c r="F14" s="10"/>
      <c r="G14" s="8"/>
    </row>
    <row r="15" spans="1:7" ht="19.5" customHeight="1" x14ac:dyDescent="0.25">
      <c r="A15" s="11">
        <v>12</v>
      </c>
      <c r="B15" s="12"/>
      <c r="C15" s="13" t="s">
        <v>24</v>
      </c>
      <c r="D15" s="14" t="s">
        <v>11</v>
      </c>
      <c r="E15" s="13"/>
      <c r="F15" s="15"/>
      <c r="G15" s="13"/>
    </row>
    <row r="16" spans="1:7" ht="19.5" customHeight="1" x14ac:dyDescent="0.25">
      <c r="A16" s="6">
        <v>13</v>
      </c>
      <c r="B16" s="7"/>
      <c r="C16" s="8" t="s">
        <v>25</v>
      </c>
      <c r="D16" s="9" t="s">
        <v>11</v>
      </c>
      <c r="E16" s="8"/>
      <c r="F16" s="10"/>
      <c r="G16" s="8"/>
    </row>
    <row r="17" spans="1:7" ht="19.5" customHeight="1" x14ac:dyDescent="0.25">
      <c r="A17" s="11">
        <v>14</v>
      </c>
      <c r="B17" s="12"/>
      <c r="C17" s="13" t="s">
        <v>26</v>
      </c>
      <c r="D17" s="14" t="s">
        <v>11</v>
      </c>
      <c r="E17" s="13"/>
      <c r="F17" s="15"/>
      <c r="G17" s="13"/>
    </row>
    <row r="18" spans="1:7" ht="19.5" customHeight="1" x14ac:dyDescent="0.25">
      <c r="A18" s="6">
        <v>15</v>
      </c>
      <c r="B18" s="7"/>
      <c r="C18" s="8" t="s">
        <v>27</v>
      </c>
      <c r="D18" s="9" t="s">
        <v>11</v>
      </c>
      <c r="E18" s="8"/>
      <c r="F18" s="10"/>
      <c r="G18" s="8"/>
    </row>
    <row r="19" spans="1:7" ht="19.5" customHeight="1" x14ac:dyDescent="0.25">
      <c r="A19" s="11">
        <v>16</v>
      </c>
      <c r="B19" s="12"/>
      <c r="C19" s="13" t="s">
        <v>28</v>
      </c>
      <c r="D19" s="14" t="s">
        <v>11</v>
      </c>
      <c r="E19" s="13"/>
      <c r="F19" s="15"/>
      <c r="G19" s="13"/>
    </row>
    <row r="20" spans="1:7" ht="19.5" customHeight="1" x14ac:dyDescent="0.25">
      <c r="A20" s="6">
        <v>17</v>
      </c>
      <c r="B20" s="7"/>
      <c r="C20" s="8" t="s">
        <v>29</v>
      </c>
      <c r="D20" s="9" t="s">
        <v>11</v>
      </c>
      <c r="E20" s="8"/>
      <c r="F20" s="10"/>
      <c r="G20" s="8"/>
    </row>
    <row r="21" spans="1:7" ht="19.5" customHeight="1" x14ac:dyDescent="0.25">
      <c r="A21" s="11">
        <v>18</v>
      </c>
      <c r="B21" s="12"/>
      <c r="C21" s="13" t="s">
        <v>30</v>
      </c>
      <c r="D21" s="14" t="s">
        <v>11</v>
      </c>
      <c r="E21" s="13"/>
      <c r="F21" s="15"/>
      <c r="G21" s="13"/>
    </row>
    <row r="22" spans="1:7" ht="19.5" customHeight="1" x14ac:dyDescent="0.25">
      <c r="A22" s="6">
        <v>19</v>
      </c>
      <c r="B22" s="7"/>
      <c r="C22" s="8" t="s">
        <v>31</v>
      </c>
      <c r="D22" s="9" t="s">
        <v>11</v>
      </c>
      <c r="E22" s="8"/>
      <c r="F22" s="10"/>
      <c r="G22" s="8"/>
    </row>
    <row r="23" spans="1:7" ht="19.5" customHeight="1" x14ac:dyDescent="0.25">
      <c r="A23" s="11">
        <v>20</v>
      </c>
      <c r="B23" s="12" t="s">
        <v>32</v>
      </c>
      <c r="C23" s="13" t="s">
        <v>33</v>
      </c>
      <c r="D23" s="14" t="s">
        <v>11</v>
      </c>
      <c r="E23" s="13"/>
      <c r="F23" s="15"/>
      <c r="G23" s="13"/>
    </row>
    <row r="24" spans="1:7" ht="19.5" customHeight="1" x14ac:dyDescent="0.25">
      <c r="A24" s="6">
        <v>21</v>
      </c>
      <c r="B24" s="7"/>
      <c r="C24" s="8" t="s">
        <v>34</v>
      </c>
      <c r="D24" s="9" t="s">
        <v>11</v>
      </c>
      <c r="E24" s="8"/>
      <c r="F24" s="10"/>
      <c r="G24" s="8"/>
    </row>
    <row r="25" spans="1:7" ht="19.5" customHeight="1" x14ac:dyDescent="0.25">
      <c r="A25" s="11">
        <v>22</v>
      </c>
      <c r="B25" s="12"/>
      <c r="C25" s="13" t="s">
        <v>35</v>
      </c>
      <c r="D25" s="14" t="s">
        <v>11</v>
      </c>
      <c r="E25" s="13"/>
      <c r="F25" s="15"/>
      <c r="G25" s="13"/>
    </row>
    <row r="26" spans="1:7" ht="19.5" customHeight="1" x14ac:dyDescent="0.25">
      <c r="A26" s="6">
        <v>23</v>
      </c>
      <c r="B26" s="7"/>
      <c r="C26" s="8" t="s">
        <v>36</v>
      </c>
      <c r="D26" s="9" t="s">
        <v>11</v>
      </c>
      <c r="E26" s="8"/>
      <c r="F26" s="10"/>
      <c r="G26" s="8"/>
    </row>
    <row r="27" spans="1:7" ht="19.5" customHeight="1" x14ac:dyDescent="0.25">
      <c r="A27" s="11">
        <v>24</v>
      </c>
      <c r="B27" s="12"/>
      <c r="C27" s="13" t="s">
        <v>37</v>
      </c>
      <c r="D27" s="14" t="s">
        <v>11</v>
      </c>
      <c r="E27" s="13"/>
      <c r="F27" s="15"/>
      <c r="G27" s="13"/>
    </row>
    <row r="28" spans="1:7" ht="19.5" customHeight="1" x14ac:dyDescent="0.25">
      <c r="A28" s="6">
        <v>25</v>
      </c>
      <c r="B28" s="7"/>
      <c r="C28" s="8" t="s">
        <v>38</v>
      </c>
      <c r="D28" s="9" t="s">
        <v>11</v>
      </c>
      <c r="E28" s="8"/>
      <c r="F28" s="10"/>
      <c r="G28" s="8"/>
    </row>
    <row r="29" spans="1:7" ht="19.5" customHeight="1" x14ac:dyDescent="0.25">
      <c r="A29" s="11">
        <v>26</v>
      </c>
      <c r="B29" s="12"/>
      <c r="C29" s="13" t="s">
        <v>39</v>
      </c>
      <c r="D29" s="14" t="s">
        <v>11</v>
      </c>
      <c r="E29" s="13"/>
      <c r="F29" s="15"/>
      <c r="G29" s="13"/>
    </row>
    <row r="30" spans="1:7" ht="19.5" customHeight="1" x14ac:dyDescent="0.25">
      <c r="A30" s="6">
        <v>27</v>
      </c>
      <c r="B30" s="7" t="s">
        <v>40</v>
      </c>
      <c r="C30" s="8" t="s">
        <v>41</v>
      </c>
      <c r="D30" s="9" t="s">
        <v>11</v>
      </c>
      <c r="E30" s="8"/>
      <c r="F30" s="10"/>
      <c r="G30" s="8"/>
    </row>
    <row r="31" spans="1:7" ht="19.5" customHeight="1" x14ac:dyDescent="0.25">
      <c r="A31" s="11">
        <v>28</v>
      </c>
      <c r="B31" s="12"/>
      <c r="C31" s="13" t="s">
        <v>42</v>
      </c>
      <c r="D31" s="14" t="s">
        <v>11</v>
      </c>
      <c r="E31" s="13"/>
      <c r="F31" s="15"/>
      <c r="G31" s="13"/>
    </row>
    <row r="32" spans="1:7" ht="19.5" customHeight="1" x14ac:dyDescent="0.25">
      <c r="A32" s="6">
        <v>29</v>
      </c>
      <c r="B32" s="7"/>
      <c r="C32" s="8" t="s">
        <v>43</v>
      </c>
      <c r="D32" s="9" t="s">
        <v>11</v>
      </c>
      <c r="E32" s="8"/>
      <c r="F32" s="10"/>
      <c r="G32" s="8"/>
    </row>
    <row r="33" spans="1:7" ht="19.5" customHeight="1" x14ac:dyDescent="0.25">
      <c r="A33" s="11">
        <v>30</v>
      </c>
      <c r="B33" s="12"/>
      <c r="C33" s="13" t="s">
        <v>44</v>
      </c>
      <c r="D33" s="14" t="s">
        <v>11</v>
      </c>
      <c r="E33" s="13"/>
      <c r="F33" s="15"/>
      <c r="G33" s="13"/>
    </row>
    <row r="34" spans="1:7" ht="19.5" customHeight="1" x14ac:dyDescent="0.25">
      <c r="A34" s="6">
        <v>31</v>
      </c>
      <c r="B34" s="7"/>
      <c r="C34" s="8" t="s">
        <v>45</v>
      </c>
      <c r="D34" s="9" t="s">
        <v>11</v>
      </c>
      <c r="E34" s="8"/>
      <c r="F34" s="10"/>
      <c r="G34" s="8"/>
    </row>
    <row r="35" spans="1:7" ht="19.5" customHeight="1" x14ac:dyDescent="0.25">
      <c r="A35" s="11">
        <v>32</v>
      </c>
      <c r="B35" s="12" t="s">
        <v>46</v>
      </c>
      <c r="C35" s="13" t="s">
        <v>47</v>
      </c>
      <c r="D35" s="14" t="s">
        <v>11</v>
      </c>
      <c r="E35" s="13"/>
      <c r="F35" s="15"/>
      <c r="G35" s="13"/>
    </row>
    <row r="36" spans="1:7" ht="19.5" customHeight="1" x14ac:dyDescent="0.25">
      <c r="A36" s="6">
        <v>33</v>
      </c>
      <c r="B36" s="7"/>
      <c r="C36" s="8" t="s">
        <v>48</v>
      </c>
      <c r="D36" s="9" t="s">
        <v>11</v>
      </c>
      <c r="E36" s="8"/>
      <c r="F36" s="10"/>
      <c r="G36" s="8"/>
    </row>
    <row r="37" spans="1:7" ht="19.5" customHeight="1" x14ac:dyDescent="0.25">
      <c r="A37" s="11">
        <v>34</v>
      </c>
      <c r="B37" s="12"/>
      <c r="C37" s="13" t="s">
        <v>49</v>
      </c>
      <c r="D37" s="14" t="s">
        <v>11</v>
      </c>
      <c r="E37" s="13"/>
      <c r="F37" s="15"/>
      <c r="G37" s="13"/>
    </row>
  </sheetData>
  <autoFilter ref="A3:G37" xr:uid="{00000000-0009-0000-0000-000000000000}"/>
  <mergeCells count="2">
    <mergeCell ref="A1:G1"/>
    <mergeCell ref="A2:G2"/>
  </mergeCells>
  <conditionalFormatting sqref="D4:D37">
    <cfRule type="cellIs" dxfId="2" priority="2" operator="equal">
      <formula>"Completado"</formula>
    </cfRule>
    <cfRule type="cellIs" dxfId="1" priority="3" operator="equal">
      <formula>"En proceso"</formula>
    </cfRule>
    <cfRule type="cellIs" dxfId="0" priority="4" operator="equal">
      <formula>"No aplica"</formula>
    </cfRule>
  </conditionalFormatting>
  <dataValidations count="1">
    <dataValidation type="list" errorTitle="Estado no válido" error="Seleccione un valor de la lista" sqref="D4:D37" xr:uid="{00000000-0002-0000-0000-000000000000}">
      <formula1>"Pendiente,En proceso,Completado,No aplica"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6" width="12" customWidth="1"/>
    <col min="7" max="7" width="14" customWidth="1"/>
  </cols>
  <sheetData>
    <row r="1" spans="1:7" ht="27.75" customHeight="1" x14ac:dyDescent="0.25">
      <c r="A1" s="3" t="s">
        <v>50</v>
      </c>
      <c r="B1" s="3"/>
      <c r="C1" s="3"/>
      <c r="D1" s="3"/>
      <c r="E1" s="3"/>
      <c r="F1" s="3"/>
      <c r="G1" s="3"/>
    </row>
    <row r="2" spans="1:7" x14ac:dyDescent="0.25">
      <c r="A2" s="2" t="s">
        <v>51</v>
      </c>
      <c r="B2" s="2"/>
      <c r="C2" s="2"/>
      <c r="D2" s="2"/>
      <c r="E2" s="2"/>
      <c r="F2" s="2"/>
      <c r="G2" s="2"/>
    </row>
    <row r="4" spans="1:7" x14ac:dyDescent="0.25">
      <c r="A4" s="5" t="s">
        <v>52</v>
      </c>
      <c r="B4" s="4" t="s">
        <v>53</v>
      </c>
      <c r="C4" s="4" t="s">
        <v>11</v>
      </c>
      <c r="D4" s="4" t="s">
        <v>54</v>
      </c>
      <c r="E4" s="4" t="s">
        <v>55</v>
      </c>
      <c r="F4" s="4" t="s">
        <v>56</v>
      </c>
      <c r="G4" s="4" t="s">
        <v>57</v>
      </c>
    </row>
    <row r="5" spans="1:7" x14ac:dyDescent="0.25">
      <c r="A5" s="16" t="s">
        <v>9</v>
      </c>
      <c r="B5" s="17">
        <f>COUNTA('Lista de Verificación'!$D$4:$D$8)</f>
        <v>5</v>
      </c>
      <c r="C5" s="17">
        <f>COUNTIF('Lista de Verificación'!$D$4:$D$8,"Pendiente")</f>
        <v>5</v>
      </c>
      <c r="D5" s="17">
        <f>COUNTIF('Lista de Verificación'!$D$4:$D$8,"En proceso")</f>
        <v>0</v>
      </c>
      <c r="E5" s="17">
        <f>COUNTIF('Lista de Verificación'!$D$4:$D$8,"Completado")</f>
        <v>0</v>
      </c>
      <c r="F5" s="17">
        <f>COUNTIF('Lista de Verificación'!$D$4:$D$8,"No aplica")</f>
        <v>0</v>
      </c>
      <c r="G5" s="18">
        <f t="shared" ref="G5:G11" si="0">IF(B5-F5=0,0,E5/(B5-F5))</f>
        <v>0</v>
      </c>
    </row>
    <row r="6" spans="1:7" x14ac:dyDescent="0.25">
      <c r="A6" s="19" t="s">
        <v>16</v>
      </c>
      <c r="B6" s="20">
        <f>COUNTA('Lista de Verificación'!$D$9:$D$13)</f>
        <v>5</v>
      </c>
      <c r="C6" s="20">
        <f>COUNTIF('Lista de Verificación'!$D$9:$D$13,"Pendiente")</f>
        <v>5</v>
      </c>
      <c r="D6" s="20">
        <f>COUNTIF('Lista de Verificación'!$D$9:$D$13,"En proceso")</f>
        <v>0</v>
      </c>
      <c r="E6" s="20">
        <f>COUNTIF('Lista de Verificación'!$D$9:$D$13,"Completado")</f>
        <v>0</v>
      </c>
      <c r="F6" s="20">
        <f>COUNTIF('Lista de Verificación'!$D$9:$D$13,"No aplica")</f>
        <v>0</v>
      </c>
      <c r="G6" s="21">
        <f t="shared" si="0"/>
        <v>0</v>
      </c>
    </row>
    <row r="7" spans="1:7" x14ac:dyDescent="0.25">
      <c r="A7" s="16" t="s">
        <v>22</v>
      </c>
      <c r="B7" s="17">
        <f>COUNTA('Lista de Verificación'!$D$14:$D$22)</f>
        <v>9</v>
      </c>
      <c r="C7" s="17">
        <f>COUNTIF('Lista de Verificación'!$D$14:$D$22,"Pendiente")</f>
        <v>9</v>
      </c>
      <c r="D7" s="17">
        <f>COUNTIF('Lista de Verificación'!$D$14:$D$22,"En proceso")</f>
        <v>0</v>
      </c>
      <c r="E7" s="17">
        <f>COUNTIF('Lista de Verificación'!$D$14:$D$22,"Completado")</f>
        <v>0</v>
      </c>
      <c r="F7" s="17">
        <f>COUNTIF('Lista de Verificación'!$D$14:$D$22,"No aplica")</f>
        <v>0</v>
      </c>
      <c r="G7" s="18">
        <f t="shared" si="0"/>
        <v>0</v>
      </c>
    </row>
    <row r="8" spans="1:7" x14ac:dyDescent="0.25">
      <c r="A8" s="19" t="s">
        <v>32</v>
      </c>
      <c r="B8" s="20">
        <f>COUNTA('Lista de Verificación'!$D$23:$D$29)</f>
        <v>7</v>
      </c>
      <c r="C8" s="20">
        <f>COUNTIF('Lista de Verificación'!$D$23:$D$29,"Pendiente")</f>
        <v>7</v>
      </c>
      <c r="D8" s="20">
        <f>COUNTIF('Lista de Verificación'!$D$23:$D$29,"En proceso")</f>
        <v>0</v>
      </c>
      <c r="E8" s="20">
        <f>COUNTIF('Lista de Verificación'!$D$23:$D$29,"Completado")</f>
        <v>0</v>
      </c>
      <c r="F8" s="20">
        <f>COUNTIF('Lista de Verificación'!$D$23:$D$29,"No aplica")</f>
        <v>0</v>
      </c>
      <c r="G8" s="21">
        <f t="shared" si="0"/>
        <v>0</v>
      </c>
    </row>
    <row r="9" spans="1:7" x14ac:dyDescent="0.25">
      <c r="A9" s="16" t="s">
        <v>40</v>
      </c>
      <c r="B9" s="17">
        <f>COUNTA('Lista de Verificación'!$D$30:$D$34)</f>
        <v>5</v>
      </c>
      <c r="C9" s="17">
        <f>COUNTIF('Lista de Verificación'!$D$30:$D$34,"Pendiente")</f>
        <v>5</v>
      </c>
      <c r="D9" s="17">
        <f>COUNTIF('Lista de Verificación'!$D$30:$D$34,"En proceso")</f>
        <v>0</v>
      </c>
      <c r="E9" s="17">
        <f>COUNTIF('Lista de Verificación'!$D$30:$D$34,"Completado")</f>
        <v>0</v>
      </c>
      <c r="F9" s="17">
        <f>COUNTIF('Lista de Verificación'!$D$30:$D$34,"No aplica")</f>
        <v>0</v>
      </c>
      <c r="G9" s="18">
        <f t="shared" si="0"/>
        <v>0</v>
      </c>
    </row>
    <row r="10" spans="1:7" x14ac:dyDescent="0.25">
      <c r="A10" s="19" t="s">
        <v>46</v>
      </c>
      <c r="B10" s="20">
        <f>COUNTA('Lista de Verificación'!$D$35:$D$37)</f>
        <v>3</v>
      </c>
      <c r="C10" s="20">
        <f>COUNTIF('Lista de Verificación'!$D$35:$D$37,"Pendiente")</f>
        <v>3</v>
      </c>
      <c r="D10" s="20">
        <f>COUNTIF('Lista de Verificación'!$D$35:$D$37,"En proceso")</f>
        <v>0</v>
      </c>
      <c r="E10" s="20">
        <f>COUNTIF('Lista de Verificación'!$D$35:$D$37,"Completado")</f>
        <v>0</v>
      </c>
      <c r="F10" s="20">
        <f>COUNTIF('Lista de Verificación'!$D$35:$D$37,"No aplica")</f>
        <v>0</v>
      </c>
      <c r="G10" s="21">
        <f t="shared" si="0"/>
        <v>0</v>
      </c>
    </row>
    <row r="11" spans="1:7" x14ac:dyDescent="0.25">
      <c r="A11" s="5" t="s">
        <v>58</v>
      </c>
      <c r="B11" s="4">
        <f>SUM(B5:B10)</f>
        <v>34</v>
      </c>
      <c r="C11" s="4">
        <f>SUM(C5:C10)</f>
        <v>34</v>
      </c>
      <c r="D11" s="4">
        <f>SUM(D5:D10)</f>
        <v>0</v>
      </c>
      <c r="E11" s="4">
        <f>SUM(E5:E10)</f>
        <v>0</v>
      </c>
      <c r="F11" s="4">
        <f>SUM(F5:F10)</f>
        <v>0</v>
      </c>
      <c r="G11" s="22">
        <f t="shared" si="0"/>
        <v>0</v>
      </c>
    </row>
    <row r="13" spans="1:7" x14ac:dyDescent="0.25">
      <c r="A13" s="23" t="s">
        <v>59</v>
      </c>
    </row>
  </sheetData>
  <mergeCells count="2">
    <mergeCell ref="A1:G1"/>
    <mergeCell ref="A2:G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4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80" customWidth="1"/>
  </cols>
  <sheetData>
    <row r="1" spans="1:2" ht="24" customHeight="1" x14ac:dyDescent="0.25">
      <c r="A1" s="1" t="s">
        <v>60</v>
      </c>
      <c r="B1" s="1"/>
    </row>
    <row r="2" spans="1:2" ht="18" customHeight="1" x14ac:dyDescent="0.25">
      <c r="A2" s="24" t="s">
        <v>61</v>
      </c>
      <c r="B2" s="24" t="s">
        <v>62</v>
      </c>
    </row>
    <row r="3" spans="1:2" ht="18" customHeight="1" x14ac:dyDescent="0.25">
      <c r="A3" s="25" t="s">
        <v>2</v>
      </c>
      <c r="B3" s="25" t="s">
        <v>63</v>
      </c>
    </row>
    <row r="4" spans="1:2" ht="30" customHeight="1" x14ac:dyDescent="0.25">
      <c r="A4" s="26" t="s">
        <v>3</v>
      </c>
      <c r="B4" s="26" t="s">
        <v>64</v>
      </c>
    </row>
    <row r="5" spans="1:2" ht="30" customHeight="1" x14ac:dyDescent="0.25">
      <c r="A5" s="25" t="s">
        <v>4</v>
      </c>
      <c r="B5" s="25" t="s">
        <v>65</v>
      </c>
    </row>
    <row r="6" spans="1:2" ht="18" customHeight="1" x14ac:dyDescent="0.25">
      <c r="A6" s="26" t="s">
        <v>5</v>
      </c>
      <c r="B6" s="26" t="s">
        <v>66</v>
      </c>
    </row>
    <row r="7" spans="1:2" ht="18" customHeight="1" x14ac:dyDescent="0.25">
      <c r="A7" s="25" t="s">
        <v>6</v>
      </c>
      <c r="B7" s="25" t="s">
        <v>67</v>
      </c>
    </row>
    <row r="8" spans="1:2" ht="18" customHeight="1" x14ac:dyDescent="0.25">
      <c r="A8" s="26" t="s">
        <v>7</v>
      </c>
      <c r="B8" s="26" t="s">
        <v>68</v>
      </c>
    </row>
    <row r="9" spans="1:2" ht="18" customHeight="1" x14ac:dyDescent="0.25">
      <c r="A9" s="25" t="s">
        <v>8</v>
      </c>
      <c r="B9" s="25" t="s">
        <v>69</v>
      </c>
    </row>
    <row r="10" spans="1:2" ht="30" customHeight="1" x14ac:dyDescent="0.25">
      <c r="A10" s="26" t="s">
        <v>70</v>
      </c>
      <c r="B10" s="26" t="s">
        <v>71</v>
      </c>
    </row>
    <row r="12" spans="1:2" ht="45" customHeight="1" x14ac:dyDescent="0.25">
      <c r="A12" s="24" t="s">
        <v>72</v>
      </c>
      <c r="B12" s="26" t="s">
        <v>73</v>
      </c>
    </row>
    <row r="13" spans="1:2" ht="18" customHeight="1" x14ac:dyDescent="0.25">
      <c r="A13" s="27" t="s">
        <v>74</v>
      </c>
      <c r="B13" s="25" t="s">
        <v>75</v>
      </c>
    </row>
    <row r="14" spans="1:2" ht="18" customHeight="1" x14ac:dyDescent="0.25">
      <c r="A14" s="24" t="s">
        <v>76</v>
      </c>
      <c r="B14" s="26" t="s">
        <v>77</v>
      </c>
    </row>
  </sheetData>
  <mergeCells count="1">
    <mergeCell ref="A1:B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Lista de Verificación</vt:lpstr>
      <vt:lpstr>Dashboard</vt:lpstr>
      <vt:lpstr>Instructivo</vt:lpstr>
      <vt:lpstr>'Lista de Verificación'!Títulos_a_imprimir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2026-10-06T18:22:47Z</dcterms:created>
  <dcterms:modified xsi:type="dcterms:W3CDTF">2026-10-06T19:56:19Z</dcterms:modified>
  <dc:language>en-US</dc:language>
</cp:coreProperties>
</file>