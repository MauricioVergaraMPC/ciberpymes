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E4D1D15A76B5DBD3A8A5037F2DFD049C4E5D54F4" xr6:coauthVersionLast="47" xr6:coauthVersionMax="47" xr10:uidLastSave="{CC4506F4-B83D-415A-B628-9C487C1C51CA}"/>
  <bookViews>
    <workbookView xWindow="29895" yWindow="1770" windowWidth="21600" windowHeight="11505" tabRatio="500" xr2:uid="{00000000-000D-0000-FFFF-FFFF00000000}"/>
  </bookViews>
  <sheets>
    <sheet name="Checklist" sheetId="1" r:id="rId1"/>
    <sheet name="Dashboard" sheetId="2" r:id="rId2"/>
    <sheet name="Instructiv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F10" i="2" s="1"/>
  <c r="E4" i="2"/>
  <c r="E10" i="2" s="1"/>
  <c r="D4" i="2"/>
  <c r="D10" i="2" s="1"/>
  <c r="C4" i="2"/>
  <c r="C10" i="2" s="1"/>
</calcChain>
</file>

<file path=xl/sharedStrings.xml><?xml version="1.0" encoding="utf-8"?>
<sst xmlns="http://schemas.openxmlformats.org/spreadsheetml/2006/main" count="117" uniqueCount="68">
  <si>
    <t>CIBERPROTECCIÓN PARA PyMES  ·  Capítulo 5 — Datos</t>
  </si>
  <si>
    <t>Lista de Verificación — Función NIST CSF 2.0 y actividades del capítulo</t>
  </si>
  <si>
    <t>© Mauricio Vergara Manjarrés — Ciberprotección para PyMES. Guía Práctica</t>
  </si>
  <si>
    <t>Función</t>
  </si>
  <si>
    <t>N°</t>
  </si>
  <si>
    <t>Actividad</t>
  </si>
  <si>
    <t>Estado</t>
  </si>
  <si>
    <t>Responsable</t>
  </si>
  <si>
    <t>Fecha de completación</t>
  </si>
  <si>
    <t>Función de Gobernanza</t>
  </si>
  <si>
    <t>Definir la Política de Gestión de Datos</t>
  </si>
  <si>
    <t>Pendiente</t>
  </si>
  <si>
    <t>Definir la Tabla de Retención Documental</t>
  </si>
  <si>
    <t>Asignar propietarios de información por dominio funcional</t>
  </si>
  <si>
    <t>Establecer Políticas para Copias de Seguridad</t>
  </si>
  <si>
    <t>Establecer Política para compartición de documentos</t>
  </si>
  <si>
    <t>Función de Identificación</t>
  </si>
  <si>
    <t>Levantar fuentes de información</t>
  </si>
  <si>
    <t>Identificar datos expuestos fuera del perímetro</t>
  </si>
  <si>
    <t>Mapear flujos de datos entre sistemas</t>
  </si>
  <si>
    <t>Priorizar fuentes de información</t>
  </si>
  <si>
    <t>Determinar indicadores clave de riesgo (KRI)</t>
  </si>
  <si>
    <t>Función de Protección</t>
  </si>
  <si>
    <t>(Re)crear repositorios de documentos</t>
  </si>
  <si>
    <t>Segurizar permisos sobre sistemas de archivos</t>
  </si>
  <si>
    <t>Cifrar datos en reposo y tránsito</t>
  </si>
  <si>
    <t>Habilitar conservación de archivos eliminados</t>
  </si>
  <si>
    <t>Controlar el uso de dispositivos de almacenamiento extraíble</t>
  </si>
  <si>
    <t>Desplegar software para copias de seguridad</t>
  </si>
  <si>
    <t>Desplegar software anti ransomware</t>
  </si>
  <si>
    <t>Desplegar Política de compartición de documentos</t>
  </si>
  <si>
    <t>Ejecutar revisiones periódicas de acceso</t>
  </si>
  <si>
    <t>Función de Detección</t>
  </si>
  <si>
    <t>Actualizar indicadores clave de riesgo (KRI)</t>
  </si>
  <si>
    <t>Auditar permisos sobre el sistema de archivos</t>
  </si>
  <si>
    <t>Auditar accesos al sistema de archivos</t>
  </si>
  <si>
    <t>Monitorizar servidor de copias de seguridad</t>
  </si>
  <si>
    <t>Monitorizar ejecución de copias de seguridad</t>
  </si>
  <si>
    <t>Habilitar auditoría de accesos en motores de bases de datos</t>
  </si>
  <si>
    <t>Detectar transferencias de datos no autorizadas</t>
  </si>
  <si>
    <t>Función de Respuesta</t>
  </si>
  <si>
    <t>Documentar Plan de Recuperación de Datos</t>
  </si>
  <si>
    <t>Programar restauraciones de prueba</t>
  </si>
  <si>
    <t>Contener el incidente</t>
  </si>
  <si>
    <t>Notificar a las partes afectadas</t>
  </si>
  <si>
    <t>Preservar evidencia antes de restaurar</t>
  </si>
  <si>
    <t>Función de Recuperación</t>
  </si>
  <si>
    <t>Recopilar evidencia forense</t>
  </si>
  <si>
    <t>Ejecutar recuperación de datos</t>
  </si>
  <si>
    <t>Ejecutar análisis post-mortem</t>
  </si>
  <si>
    <t>Dashboard — Estado de Implementación por Función</t>
  </si>
  <si>
    <t>Total actividades</t>
  </si>
  <si>
    <t>En proceso</t>
  </si>
  <si>
    <t>Completado</t>
  </si>
  <si>
    <t>No aplica</t>
  </si>
  <si>
    <t>TOTAL GENERAL</t>
  </si>
  <si>
    <t>Nota: cambie el estado de cada actividad en la hoja Checklist. Este dashboard se actualiza automáticamente.</t>
  </si>
  <si>
    <t>Instructivo de uso — Lista de Verificación</t>
  </si>
  <si>
    <t>Campo</t>
  </si>
  <si>
    <t>Descripción</t>
  </si>
  <si>
    <t>Función del NIST CSF 2.0 a la que pertenece la actividad (Gobernanza, Identificación, Protección, Detección, Respuesta o Recuperación). Se muestra únicamente en la primera fila de cada bloque.</t>
  </si>
  <si>
    <t>Número secuencial de la actividad dentro de su función.</t>
  </si>
  <si>
    <t>Descripción de la actividad, correspondiente a una sección del Capítulo 5 — Datos del libro Ciberprotección para PyMES.</t>
  </si>
  <si>
    <t>Estado de avance de la actividad. Seleccionar uno de los siguientes valores desde la lista desplegable: Pendiente, En proceso, Completado, No aplica.</t>
  </si>
  <si>
    <t>Nombre del miembro del equipo a cargo de ejecutar la actividad.</t>
  </si>
  <si>
    <t>Fecha real o estimada de cierre de la actividad, en formato DD/MM/AAAA.</t>
  </si>
  <si>
    <t>Hoja Dashboard</t>
  </si>
  <si>
    <t>Resume automáticamente, mediante fórmulas COUNTIF, la cantidad de actividades en cada estado por función. Se actualiza al modificar la columna Estado en la hoja Checklist.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</si>
</sst>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0F3F6E"/>
      <name val="Calibri"/>
      <charset val="1"/>
    </font>
    <font>
      <sz val="9"/>
      <color rgb="FF555555"/>
      <name val="Calibri"/>
      <charset val="1"/>
    </font>
    <font>
      <sz val="10"/>
      <color rgb="FF000000"/>
      <name val="Calibri"/>
      <charset val="1"/>
    </font>
    <font>
      <sz val="10"/>
      <name val="Calibri"/>
      <charset val="1"/>
    </font>
    <font>
      <i/>
      <sz val="9"/>
      <color rgb="FF555555"/>
      <name val="Calibri"/>
      <charset val="1"/>
    </font>
    <font>
      <b/>
      <sz val="10"/>
      <color rgb="FF0F3F6E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0F3F6E"/>
      </patternFill>
    </fill>
    <fill>
      <patternFill patternType="solid">
        <fgColor rgb="FF5F5E5A"/>
        <bgColor rgb="FF555555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9" fillId="0" borderId="0" xfId="0" applyFont="1"/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/>
    <xf numFmtId="164" fontId="7" fillId="5" borderId="1" xfId="0" applyNumberFormat="1" applyFont="1" applyFill="1" applyBorder="1"/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/>
    <xf numFmtId="164" fontId="7" fillId="6" borderId="1" xfId="0" applyNumberFormat="1" applyFont="1" applyFill="1" applyBorder="1"/>
    <xf numFmtId="0" fontId="5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10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zoomScaleNormal="100" workbookViewId="0">
      <pane ySplit="4" topLeftCell="A5" activePane="bottomLeft" state="frozen"/>
      <selection pane="bottomLeft" sqref="A1:F1"/>
    </sheetView>
  </sheetViews>
  <sheetFormatPr baseColWidth="10" defaultColWidth="8.7109375" defaultRowHeight="15" x14ac:dyDescent="0.25"/>
  <cols>
    <col min="1" max="1" width="26" customWidth="1"/>
    <col min="2" max="2" width="5" customWidth="1"/>
    <col min="3" max="3" width="62" customWidth="1"/>
    <col min="4" max="4" width="16" customWidth="1"/>
    <col min="5" max="5" width="22" customWidth="1"/>
    <col min="6" max="6" width="20" customWidth="1"/>
  </cols>
  <sheetData>
    <row r="1" spans="1:6" ht="21.75" customHeight="1" x14ac:dyDescent="0.25">
      <c r="A1" s="4" t="s">
        <v>0</v>
      </c>
      <c r="B1" s="4"/>
      <c r="C1" s="4"/>
      <c r="D1" s="4"/>
      <c r="E1" s="4"/>
      <c r="F1" s="4"/>
    </row>
    <row r="2" spans="1:6" ht="19.5" customHeight="1" x14ac:dyDescent="0.25">
      <c r="A2" s="3" t="s">
        <v>1</v>
      </c>
      <c r="B2" s="3"/>
      <c r="C2" s="3"/>
      <c r="D2" s="3"/>
      <c r="E2" s="3"/>
      <c r="F2" s="3"/>
    </row>
    <row r="3" spans="1:6" ht="15.75" customHeight="1" x14ac:dyDescent="0.25">
      <c r="A3" s="2" t="s">
        <v>2</v>
      </c>
      <c r="B3" s="2"/>
      <c r="C3" s="2"/>
      <c r="D3" s="2"/>
      <c r="E3" s="2"/>
      <c r="F3" s="2"/>
    </row>
    <row r="4" spans="1:6" ht="18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spans="1:6" x14ac:dyDescent="0.25">
      <c r="A5" s="6" t="s">
        <v>9</v>
      </c>
      <c r="B5" s="7">
        <v>1</v>
      </c>
      <c r="C5" s="8" t="s">
        <v>10</v>
      </c>
      <c r="D5" s="9" t="s">
        <v>11</v>
      </c>
      <c r="E5" s="10"/>
      <c r="F5" s="11"/>
    </row>
    <row r="6" spans="1:6" x14ac:dyDescent="0.25">
      <c r="A6" s="12"/>
      <c r="B6" s="13">
        <v>2</v>
      </c>
      <c r="C6" s="14" t="s">
        <v>12</v>
      </c>
      <c r="D6" s="15" t="s">
        <v>11</v>
      </c>
      <c r="E6" s="16"/>
      <c r="F6" s="17"/>
    </row>
    <row r="7" spans="1:6" x14ac:dyDescent="0.25">
      <c r="A7" s="6"/>
      <c r="B7" s="7">
        <v>3</v>
      </c>
      <c r="C7" s="8" t="s">
        <v>13</v>
      </c>
      <c r="D7" s="9" t="s">
        <v>11</v>
      </c>
      <c r="E7" s="10"/>
      <c r="F7" s="11"/>
    </row>
    <row r="8" spans="1:6" x14ac:dyDescent="0.25">
      <c r="A8" s="12"/>
      <c r="B8" s="13">
        <v>4</v>
      </c>
      <c r="C8" s="14" t="s">
        <v>14</v>
      </c>
      <c r="D8" s="15" t="s">
        <v>11</v>
      </c>
      <c r="E8" s="16"/>
      <c r="F8" s="17"/>
    </row>
    <row r="9" spans="1:6" x14ac:dyDescent="0.25">
      <c r="A9" s="6"/>
      <c r="B9" s="7">
        <v>5</v>
      </c>
      <c r="C9" s="8" t="s">
        <v>15</v>
      </c>
      <c r="D9" s="9" t="s">
        <v>11</v>
      </c>
      <c r="E9" s="10"/>
      <c r="F9" s="11"/>
    </row>
    <row r="10" spans="1:6" x14ac:dyDescent="0.25">
      <c r="A10" s="12" t="s">
        <v>16</v>
      </c>
      <c r="B10" s="13">
        <v>1</v>
      </c>
      <c r="C10" s="14" t="s">
        <v>17</v>
      </c>
      <c r="D10" s="15" t="s">
        <v>11</v>
      </c>
      <c r="E10" s="16"/>
      <c r="F10" s="17"/>
    </row>
    <row r="11" spans="1:6" x14ac:dyDescent="0.25">
      <c r="A11" s="6"/>
      <c r="B11" s="7">
        <v>2</v>
      </c>
      <c r="C11" s="8" t="s">
        <v>18</v>
      </c>
      <c r="D11" s="9" t="s">
        <v>11</v>
      </c>
      <c r="E11" s="10"/>
      <c r="F11" s="11"/>
    </row>
    <row r="12" spans="1:6" x14ac:dyDescent="0.25">
      <c r="A12" s="12"/>
      <c r="B12" s="13">
        <v>3</v>
      </c>
      <c r="C12" s="14" t="s">
        <v>19</v>
      </c>
      <c r="D12" s="15" t="s">
        <v>11</v>
      </c>
      <c r="E12" s="16"/>
      <c r="F12" s="17"/>
    </row>
    <row r="13" spans="1:6" x14ac:dyDescent="0.25">
      <c r="A13" s="6"/>
      <c r="B13" s="7">
        <v>4</v>
      </c>
      <c r="C13" s="8" t="s">
        <v>20</v>
      </c>
      <c r="D13" s="9" t="s">
        <v>11</v>
      </c>
      <c r="E13" s="10"/>
      <c r="F13" s="11"/>
    </row>
    <row r="14" spans="1:6" x14ac:dyDescent="0.25">
      <c r="A14" s="12"/>
      <c r="B14" s="13">
        <v>5</v>
      </c>
      <c r="C14" s="14" t="s">
        <v>21</v>
      </c>
      <c r="D14" s="15" t="s">
        <v>11</v>
      </c>
      <c r="E14" s="16"/>
      <c r="F14" s="17"/>
    </row>
    <row r="15" spans="1:6" x14ac:dyDescent="0.25">
      <c r="A15" s="6" t="s">
        <v>22</v>
      </c>
      <c r="B15" s="7">
        <v>1</v>
      </c>
      <c r="C15" s="8" t="s">
        <v>23</v>
      </c>
      <c r="D15" s="9" t="s">
        <v>11</v>
      </c>
      <c r="E15" s="10"/>
      <c r="F15" s="11"/>
    </row>
    <row r="16" spans="1:6" x14ac:dyDescent="0.25">
      <c r="A16" s="12"/>
      <c r="B16" s="13">
        <v>2</v>
      </c>
      <c r="C16" s="14" t="s">
        <v>24</v>
      </c>
      <c r="D16" s="15" t="s">
        <v>11</v>
      </c>
      <c r="E16" s="16"/>
      <c r="F16" s="17"/>
    </row>
    <row r="17" spans="1:6" x14ac:dyDescent="0.25">
      <c r="A17" s="6"/>
      <c r="B17" s="7">
        <v>3</v>
      </c>
      <c r="C17" s="8" t="s">
        <v>25</v>
      </c>
      <c r="D17" s="9" t="s">
        <v>11</v>
      </c>
      <c r="E17" s="10"/>
      <c r="F17" s="11"/>
    </row>
    <row r="18" spans="1:6" x14ac:dyDescent="0.25">
      <c r="A18" s="12"/>
      <c r="B18" s="13">
        <v>4</v>
      </c>
      <c r="C18" s="14" t="s">
        <v>26</v>
      </c>
      <c r="D18" s="15" t="s">
        <v>11</v>
      </c>
      <c r="E18" s="16"/>
      <c r="F18" s="17"/>
    </row>
    <row r="19" spans="1:6" x14ac:dyDescent="0.25">
      <c r="A19" s="6"/>
      <c r="B19" s="7">
        <v>5</v>
      </c>
      <c r="C19" s="8" t="s">
        <v>27</v>
      </c>
      <c r="D19" s="9" t="s">
        <v>11</v>
      </c>
      <c r="E19" s="10"/>
      <c r="F19" s="11"/>
    </row>
    <row r="20" spans="1:6" x14ac:dyDescent="0.25">
      <c r="A20" s="12"/>
      <c r="B20" s="13">
        <v>6</v>
      </c>
      <c r="C20" s="14" t="s">
        <v>28</v>
      </c>
      <c r="D20" s="15" t="s">
        <v>11</v>
      </c>
      <c r="E20" s="16"/>
      <c r="F20" s="17"/>
    </row>
    <row r="21" spans="1:6" x14ac:dyDescent="0.25">
      <c r="A21" s="6"/>
      <c r="B21" s="7">
        <v>7</v>
      </c>
      <c r="C21" s="8" t="s">
        <v>29</v>
      </c>
      <c r="D21" s="9" t="s">
        <v>11</v>
      </c>
      <c r="E21" s="10"/>
      <c r="F21" s="11"/>
    </row>
    <row r="22" spans="1:6" x14ac:dyDescent="0.25">
      <c r="A22" s="12"/>
      <c r="B22" s="13">
        <v>8</v>
      </c>
      <c r="C22" s="14" t="s">
        <v>30</v>
      </c>
      <c r="D22" s="15" t="s">
        <v>11</v>
      </c>
      <c r="E22" s="16"/>
      <c r="F22" s="17"/>
    </row>
    <row r="23" spans="1:6" x14ac:dyDescent="0.25">
      <c r="A23" s="6"/>
      <c r="B23" s="7">
        <v>9</v>
      </c>
      <c r="C23" s="8" t="s">
        <v>31</v>
      </c>
      <c r="D23" s="9" t="s">
        <v>11</v>
      </c>
      <c r="E23" s="10"/>
      <c r="F23" s="11"/>
    </row>
    <row r="24" spans="1:6" x14ac:dyDescent="0.25">
      <c r="A24" s="12" t="s">
        <v>32</v>
      </c>
      <c r="B24" s="13">
        <v>1</v>
      </c>
      <c r="C24" s="14" t="s">
        <v>33</v>
      </c>
      <c r="D24" s="15" t="s">
        <v>11</v>
      </c>
      <c r="E24" s="16"/>
      <c r="F24" s="17"/>
    </row>
    <row r="25" spans="1:6" x14ac:dyDescent="0.25">
      <c r="A25" s="6"/>
      <c r="B25" s="7">
        <v>2</v>
      </c>
      <c r="C25" s="8" t="s">
        <v>34</v>
      </c>
      <c r="D25" s="9" t="s">
        <v>11</v>
      </c>
      <c r="E25" s="10"/>
      <c r="F25" s="11"/>
    </row>
    <row r="26" spans="1:6" x14ac:dyDescent="0.25">
      <c r="A26" s="12"/>
      <c r="B26" s="13">
        <v>3</v>
      </c>
      <c r="C26" s="14" t="s">
        <v>35</v>
      </c>
      <c r="D26" s="15" t="s">
        <v>11</v>
      </c>
      <c r="E26" s="16"/>
      <c r="F26" s="17"/>
    </row>
    <row r="27" spans="1:6" x14ac:dyDescent="0.25">
      <c r="A27" s="6"/>
      <c r="B27" s="7">
        <v>4</v>
      </c>
      <c r="C27" s="8" t="s">
        <v>36</v>
      </c>
      <c r="D27" s="9" t="s">
        <v>11</v>
      </c>
      <c r="E27" s="10"/>
      <c r="F27" s="11"/>
    </row>
    <row r="28" spans="1:6" x14ac:dyDescent="0.25">
      <c r="A28" s="12"/>
      <c r="B28" s="13">
        <v>5</v>
      </c>
      <c r="C28" s="14" t="s">
        <v>37</v>
      </c>
      <c r="D28" s="15" t="s">
        <v>11</v>
      </c>
      <c r="E28" s="16"/>
      <c r="F28" s="17"/>
    </row>
    <row r="29" spans="1:6" x14ac:dyDescent="0.25">
      <c r="A29" s="6"/>
      <c r="B29" s="7">
        <v>6</v>
      </c>
      <c r="C29" s="8" t="s">
        <v>38</v>
      </c>
      <c r="D29" s="9" t="s">
        <v>11</v>
      </c>
      <c r="E29" s="10"/>
      <c r="F29" s="11"/>
    </row>
    <row r="30" spans="1:6" x14ac:dyDescent="0.25">
      <c r="A30" s="12"/>
      <c r="B30" s="13">
        <v>7</v>
      </c>
      <c r="C30" s="14" t="s">
        <v>39</v>
      </c>
      <c r="D30" s="15" t="s">
        <v>11</v>
      </c>
      <c r="E30" s="16"/>
      <c r="F30" s="17"/>
    </row>
    <row r="31" spans="1:6" x14ac:dyDescent="0.25">
      <c r="A31" s="6" t="s">
        <v>40</v>
      </c>
      <c r="B31" s="7">
        <v>1</v>
      </c>
      <c r="C31" s="8" t="s">
        <v>41</v>
      </c>
      <c r="D31" s="9" t="s">
        <v>11</v>
      </c>
      <c r="E31" s="10"/>
      <c r="F31" s="11"/>
    </row>
    <row r="32" spans="1:6" x14ac:dyDescent="0.25">
      <c r="A32" s="12"/>
      <c r="B32" s="13">
        <v>2</v>
      </c>
      <c r="C32" s="14" t="s">
        <v>42</v>
      </c>
      <c r="D32" s="15" t="s">
        <v>11</v>
      </c>
      <c r="E32" s="16"/>
      <c r="F32" s="17"/>
    </row>
    <row r="33" spans="1:6" x14ac:dyDescent="0.25">
      <c r="A33" s="6"/>
      <c r="B33" s="7">
        <v>3</v>
      </c>
      <c r="C33" s="8" t="s">
        <v>43</v>
      </c>
      <c r="D33" s="9" t="s">
        <v>11</v>
      </c>
      <c r="E33" s="10"/>
      <c r="F33" s="11"/>
    </row>
    <row r="34" spans="1:6" x14ac:dyDescent="0.25">
      <c r="A34" s="12"/>
      <c r="B34" s="13">
        <v>4</v>
      </c>
      <c r="C34" s="14" t="s">
        <v>44</v>
      </c>
      <c r="D34" s="15" t="s">
        <v>11</v>
      </c>
      <c r="E34" s="16"/>
      <c r="F34" s="17"/>
    </row>
    <row r="35" spans="1:6" x14ac:dyDescent="0.25">
      <c r="A35" s="6"/>
      <c r="B35" s="7">
        <v>5</v>
      </c>
      <c r="C35" s="8" t="s">
        <v>45</v>
      </c>
      <c r="D35" s="9" t="s">
        <v>11</v>
      </c>
      <c r="E35" s="10"/>
      <c r="F35" s="11"/>
    </row>
    <row r="36" spans="1:6" x14ac:dyDescent="0.25">
      <c r="A36" s="12" t="s">
        <v>46</v>
      </c>
      <c r="B36" s="13">
        <v>1</v>
      </c>
      <c r="C36" s="14" t="s">
        <v>47</v>
      </c>
      <c r="D36" s="15" t="s">
        <v>11</v>
      </c>
      <c r="E36" s="16"/>
      <c r="F36" s="17"/>
    </row>
    <row r="37" spans="1:6" x14ac:dyDescent="0.25">
      <c r="A37" s="6"/>
      <c r="B37" s="7">
        <v>2</v>
      </c>
      <c r="C37" s="8" t="s">
        <v>48</v>
      </c>
      <c r="D37" s="9" t="s">
        <v>11</v>
      </c>
      <c r="E37" s="10"/>
      <c r="F37" s="11"/>
    </row>
    <row r="38" spans="1:6" x14ac:dyDescent="0.25">
      <c r="A38" s="12"/>
      <c r="B38" s="13">
        <v>3</v>
      </c>
      <c r="C38" s="14" t="s">
        <v>49</v>
      </c>
      <c r="D38" s="15" t="s">
        <v>11</v>
      </c>
      <c r="E38" s="16"/>
      <c r="F38" s="17"/>
    </row>
  </sheetData>
  <mergeCells count="3">
    <mergeCell ref="A1:F1"/>
    <mergeCell ref="A2:F2"/>
    <mergeCell ref="A3:F3"/>
  </mergeCells>
  <dataValidations count="1">
    <dataValidation type="list" sqref="D5:D38" xr:uid="{00000000-0002-0000-0000-000000000000}">
      <formula1>"Pendiente,En proceso,Completado,No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/>
  </sheetViews>
  <sheetFormatPr baseColWidth="10" defaultColWidth="8.7109375" defaultRowHeight="15" x14ac:dyDescent="0.25"/>
  <cols>
    <col min="1" max="1" width="26" customWidth="1"/>
    <col min="2" max="2" width="16" customWidth="1"/>
    <col min="3" max="6" width="12" customWidth="1"/>
  </cols>
  <sheetData>
    <row r="1" spans="1:6" ht="21.75" customHeight="1" x14ac:dyDescent="0.25">
      <c r="A1" s="4" t="s">
        <v>0</v>
      </c>
      <c r="B1" s="4"/>
      <c r="C1" s="4"/>
      <c r="D1" s="4"/>
      <c r="E1" s="4"/>
      <c r="F1" s="4"/>
    </row>
    <row r="2" spans="1:6" ht="19.5" customHeight="1" x14ac:dyDescent="0.25">
      <c r="A2" s="3" t="s">
        <v>50</v>
      </c>
      <c r="B2" s="3"/>
      <c r="C2" s="3"/>
      <c r="D2" s="3"/>
      <c r="E2" s="3"/>
      <c r="F2" s="3"/>
    </row>
    <row r="3" spans="1:6" ht="18" customHeight="1" x14ac:dyDescent="0.25">
      <c r="A3" s="5" t="s">
        <v>3</v>
      </c>
      <c r="B3" s="5" t="s">
        <v>51</v>
      </c>
      <c r="C3" s="5" t="s">
        <v>11</v>
      </c>
      <c r="D3" s="5" t="s">
        <v>52</v>
      </c>
      <c r="E3" s="5" t="s">
        <v>53</v>
      </c>
      <c r="F3" s="5" t="s">
        <v>54</v>
      </c>
    </row>
    <row r="4" spans="1:6" x14ac:dyDescent="0.25">
      <c r="A4" s="18" t="s">
        <v>9</v>
      </c>
      <c r="B4" s="19">
        <v>5</v>
      </c>
      <c r="C4" s="19">
        <f>COUNTIF(Checklist!D5:D9,"Pendiente")</f>
        <v>5</v>
      </c>
      <c r="D4" s="19">
        <f>COUNTIF(Checklist!D5:D9,"En proceso")</f>
        <v>0</v>
      </c>
      <c r="E4" s="19">
        <f>COUNTIF(Checklist!D5:D9,"Completado")</f>
        <v>0</v>
      </c>
      <c r="F4" s="19">
        <f>COUNTIF(Checklist!D5:D9,"No aplica")</f>
        <v>0</v>
      </c>
    </row>
    <row r="5" spans="1:6" x14ac:dyDescent="0.25">
      <c r="A5" s="20" t="s">
        <v>16</v>
      </c>
      <c r="B5" s="21">
        <v>5</v>
      </c>
      <c r="C5" s="21">
        <f>COUNTIF(Checklist!D10:D14,"Pendiente")</f>
        <v>5</v>
      </c>
      <c r="D5" s="21">
        <f>COUNTIF(Checklist!D10:D14,"En proceso")</f>
        <v>0</v>
      </c>
      <c r="E5" s="21">
        <f>COUNTIF(Checklist!D10:D14,"Completado")</f>
        <v>0</v>
      </c>
      <c r="F5" s="21">
        <f>COUNTIF(Checklist!D10:D14,"No aplica")</f>
        <v>0</v>
      </c>
    </row>
    <row r="6" spans="1:6" x14ac:dyDescent="0.25">
      <c r="A6" s="18" t="s">
        <v>22</v>
      </c>
      <c r="B6" s="19">
        <v>9</v>
      </c>
      <c r="C6" s="19">
        <f>COUNTIF(Checklist!D15:D23,"Pendiente")</f>
        <v>9</v>
      </c>
      <c r="D6" s="19">
        <f>COUNTIF(Checklist!D15:D23,"En proceso")</f>
        <v>0</v>
      </c>
      <c r="E6" s="19">
        <f>COUNTIF(Checklist!D15:D23,"Completado")</f>
        <v>0</v>
      </c>
      <c r="F6" s="19">
        <f>COUNTIF(Checklist!D15:D23,"No aplica")</f>
        <v>0</v>
      </c>
    </row>
    <row r="7" spans="1:6" x14ac:dyDescent="0.25">
      <c r="A7" s="20" t="s">
        <v>32</v>
      </c>
      <c r="B7" s="21">
        <v>7</v>
      </c>
      <c r="C7" s="21">
        <f>COUNTIF(Checklist!D24:D30,"Pendiente")</f>
        <v>7</v>
      </c>
      <c r="D7" s="21">
        <f>COUNTIF(Checklist!D24:D30,"En proceso")</f>
        <v>0</v>
      </c>
      <c r="E7" s="21">
        <f>COUNTIF(Checklist!D24:D30,"Completado")</f>
        <v>0</v>
      </c>
      <c r="F7" s="21">
        <f>COUNTIF(Checklist!D24:D30,"No aplica")</f>
        <v>0</v>
      </c>
    </row>
    <row r="8" spans="1:6" x14ac:dyDescent="0.25">
      <c r="A8" s="18" t="s">
        <v>40</v>
      </c>
      <c r="B8" s="19">
        <v>5</v>
      </c>
      <c r="C8" s="19">
        <f>COUNTIF(Checklist!D31:D35,"Pendiente")</f>
        <v>5</v>
      </c>
      <c r="D8" s="19">
        <f>COUNTIF(Checklist!D31:D35,"En proceso")</f>
        <v>0</v>
      </c>
      <c r="E8" s="19">
        <f>COUNTIF(Checklist!D31:D35,"Completado")</f>
        <v>0</v>
      </c>
      <c r="F8" s="19">
        <f>COUNTIF(Checklist!D31:D35,"No aplica")</f>
        <v>0</v>
      </c>
    </row>
    <row r="9" spans="1:6" x14ac:dyDescent="0.25">
      <c r="A9" s="20" t="s">
        <v>46</v>
      </c>
      <c r="B9" s="21">
        <v>3</v>
      </c>
      <c r="C9" s="21">
        <f>COUNTIF(Checklist!D36:D38,"Pendiente")</f>
        <v>3</v>
      </c>
      <c r="D9" s="21">
        <f>COUNTIF(Checklist!D36:D38,"En proceso")</f>
        <v>0</v>
      </c>
      <c r="E9" s="21">
        <f>COUNTIF(Checklist!D36:D38,"Completado")</f>
        <v>0</v>
      </c>
      <c r="F9" s="21">
        <f>COUNTIF(Checklist!D36:D38,"No aplica")</f>
        <v>0</v>
      </c>
    </row>
    <row r="10" spans="1:6" x14ac:dyDescent="0.25">
      <c r="A10" s="22" t="s">
        <v>55</v>
      </c>
      <c r="B10" s="23">
        <f>SUM(B4:B9)</f>
        <v>34</v>
      </c>
      <c r="C10" s="23">
        <f>SUM(C4:C9)</f>
        <v>34</v>
      </c>
      <c r="D10" s="23">
        <f>SUM(D4:D9)</f>
        <v>0</v>
      </c>
      <c r="E10" s="23">
        <f>SUM(E4:E9)</f>
        <v>0</v>
      </c>
      <c r="F10" s="23">
        <f>SUM(F4:F9)</f>
        <v>0</v>
      </c>
    </row>
    <row r="12" spans="1:6" x14ac:dyDescent="0.25">
      <c r="A12" s="1" t="s">
        <v>56</v>
      </c>
      <c r="B12" s="1"/>
      <c r="C12" s="1"/>
      <c r="D12" s="1"/>
      <c r="E12" s="1"/>
      <c r="F12" s="1"/>
    </row>
  </sheetData>
  <mergeCells count="3">
    <mergeCell ref="A1:F1"/>
    <mergeCell ref="A2:F2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90" customWidth="1"/>
  </cols>
  <sheetData>
    <row r="1" spans="1:2" ht="21.75" customHeight="1" x14ac:dyDescent="0.25">
      <c r="A1" s="4" t="s">
        <v>0</v>
      </c>
      <c r="B1" s="4"/>
    </row>
    <row r="2" spans="1:2" ht="19.5" customHeight="1" x14ac:dyDescent="0.25">
      <c r="A2" s="3" t="s">
        <v>57</v>
      </c>
      <c r="B2" s="3"/>
    </row>
    <row r="3" spans="1:2" ht="18" customHeight="1" x14ac:dyDescent="0.25">
      <c r="A3" s="24" t="s">
        <v>58</v>
      </c>
      <c r="B3" s="24" t="s">
        <v>59</v>
      </c>
    </row>
    <row r="4" spans="1:2" ht="25.5" x14ac:dyDescent="0.25">
      <c r="A4" s="25" t="s">
        <v>3</v>
      </c>
      <c r="B4" s="26" t="s">
        <v>60</v>
      </c>
    </row>
    <row r="5" spans="1:2" x14ac:dyDescent="0.25">
      <c r="A5" s="27" t="s">
        <v>4</v>
      </c>
      <c r="B5" s="28" t="s">
        <v>61</v>
      </c>
    </row>
    <row r="6" spans="1:2" ht="25.5" x14ac:dyDescent="0.25">
      <c r="A6" s="25" t="s">
        <v>5</v>
      </c>
      <c r="B6" s="26" t="s">
        <v>62</v>
      </c>
    </row>
    <row r="7" spans="1:2" ht="25.5" x14ac:dyDescent="0.25">
      <c r="A7" s="27" t="s">
        <v>6</v>
      </c>
      <c r="B7" s="28" t="s">
        <v>63</v>
      </c>
    </row>
    <row r="8" spans="1:2" x14ac:dyDescent="0.25">
      <c r="A8" s="25" t="s">
        <v>7</v>
      </c>
      <c r="B8" s="26" t="s">
        <v>64</v>
      </c>
    </row>
    <row r="9" spans="1:2" x14ac:dyDescent="0.25">
      <c r="A9" s="27" t="s">
        <v>8</v>
      </c>
      <c r="B9" s="28" t="s">
        <v>65</v>
      </c>
    </row>
    <row r="10" spans="1:2" ht="25.5" x14ac:dyDescent="0.25">
      <c r="A10" s="25" t="s">
        <v>66</v>
      </c>
      <c r="B10" s="26" t="s">
        <v>67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</vt:lpstr>
      <vt:lpstr>Dashboard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2026-08-27T22:50:04Z</dcterms:created>
  <dcterms:modified xsi:type="dcterms:W3CDTF">2026-08-27T22:55:43Z</dcterms:modified>
  <dc:language>en-US</dc:language>
</cp:coreProperties>
</file>