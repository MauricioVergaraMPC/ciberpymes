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6116776FBBD81B19CB1C54EFBEFD173686DC87A2" xr6:coauthVersionLast="47" xr6:coauthVersionMax="47" xr10:uidLastSave="{16706A36-E846-41FF-BC21-8ACC5863203E}"/>
  <bookViews>
    <workbookView xWindow="-120" yWindow="-120" windowWidth="29040" windowHeight="15990" tabRatio="500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E7" i="2"/>
  <c r="D7" i="2"/>
  <c r="C7" i="2"/>
  <c r="F6" i="2"/>
  <c r="E6" i="2"/>
  <c r="D6" i="2"/>
  <c r="C6" i="2"/>
  <c r="F5" i="2"/>
  <c r="F8" i="2" s="1"/>
  <c r="E5" i="2"/>
  <c r="E8" i="2" s="1"/>
  <c r="D5" i="2"/>
  <c r="D8" i="2" s="1"/>
  <c r="C5" i="2"/>
  <c r="C8" i="2" s="1"/>
</calcChain>
</file>

<file path=xl/sharedStrings.xml><?xml version="1.0" encoding="utf-8"?>
<sst xmlns="http://schemas.openxmlformats.org/spreadsheetml/2006/main" count="71" uniqueCount="46">
  <si>
    <t>CIBERPROTECCIÓN PARA PyMES  ·  Capítulo 7 — Servidores</t>
  </si>
  <si>
    <t>Plantilla 7.5 — Mantenimiento Programado de Servidores</t>
  </si>
  <si>
    <t>Registre el estado de cada tarea al ejecutar el mantenimiento. El Dashboard se actualiza automáticamente.</t>
  </si>
  <si>
    <t>Servidor:</t>
  </si>
  <si>
    <t>Período:</t>
  </si>
  <si>
    <t>Ejecutado por: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</si>
  <si>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</si>
  <si>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</si>
  <si>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</si>
  <si>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</si>
  <si>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</si>
  <si>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</si>
  <si>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</si>
  <si>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MENSUAL</t>
  </si>
  <si>
    <t>Verificar el espacio disponible en disco en todos los volúmenes del servidor, con especial atención a directorios de logs, archivos temporales y bases de datos. Un volumen al 85% de capacidad es señal de alerta.</t>
  </si>
  <si>
    <t>Pendiente</t>
  </si>
  <si>
    <t>Revisar el estado de las copias de seguridad: confirmar que los trabajos de backup se ejecutaron correctamente durante el mes y realizar una prueba de restauración de al menos un archivo o directorio.</t>
  </si>
  <si>
    <t>Revisar los registros de eventos en busca de errores recurrentes o advertencias no alertadas. En Windows: registros Sistema y Aplicación. En Linux: /var/log/syslog y /var/log/kern.log.</t>
  </si>
  <si>
    <t>Verificar el estado de los servicios críticos y confirmar que todas las tareas programadas (Programador de tareas en Windows / cron jobs en Linux) se completaron sin errores.</t>
  </si>
  <si>
    <t>Revisar las cuentas de usuario activas en el servidor y confirmar que no existen cuentas que deban haber sido deshabilitadas por cambios de personal o de rol ocurridos durante el mes.</t>
  </si>
  <si>
    <t>Verificar que las actualizaciones de seguridad del sistema operativo se aplicaron correctamente durante el mes. Confirmar que no quedan actualizaciones críticas pendientes.</t>
  </si>
  <si>
    <t>Revisar los intentos de autenticación fallidos registrados en el período (Event ID 4625 en Windows / auth.log en Linux) y confirmar que no superan los umbrales establecidos.</t>
  </si>
  <si>
    <t>TRIMESTRAL</t>
  </si>
  <si>
    <t>Verificar la fecha de vencimiento de los certificados digitales instalados en el servidor (SSL/TLS, certificados de autenticación de servicios) y programar su renovación con al menos 30 días de anticipación.</t>
  </si>
  <si>
    <t>Revisar las contraseñas de las cuentas de servicio y confirmar que cumplen la política vigente. Las cuentas con contraseñas sin rotación por más de 90 días deben ser actualizadas.</t>
  </si>
  <si>
    <t>Ejecutar revisión de puertos y servicios activos mediante netstat -an y comparar el resultado contra la línea base documentada. Investigar cualquier puerto o servicio no registrado.</t>
  </si>
  <si>
    <t>Ejecutar una prueba completa de restauración del servidor desde la copia de seguridad bare-metal más reciente, en entorno de pruebas aislado, para validar que el proceso de recuperación funciona correctamente.</t>
  </si>
  <si>
    <t>Actualizar la documentación del servidor en la CMDB si durante el trimestre se realizaron cambios de configuración, instalación de nuevos servicios o modificaciones de red.</t>
  </si>
  <si>
    <t>Revisar los usuarios con privilegios administrativos (Administradores locales en Windows / sudo en Linux) y confirmar que el principio de mínimo privilegio sigue siendo aplicado.</t>
  </si>
  <si>
    <t>Verificar que los agentes de monitorización (disponibilidad, seguridad, logs) están activos y enviando datos correctamente al panel centralizado.</t>
  </si>
  <si>
    <t>ANUAL</t>
  </si>
  <si>
    <t>Realizar una auditoría completa de la configuración del servidor contra el estándar de hardening baseline definido en la Función de Gobernanza e identificar desviaciones.</t>
  </si>
  <si>
    <t>Revisar y actualizar la Política de Gestión de Servidores, los estándares de configuración base y los procedimientos de respuesta a incidentes asociados al capítulo.</t>
  </si>
  <si>
    <t>Ejecutar un simulacro completo de recuperación ante desastre: pérdida total del servidor y restauración desde backup bare-metal, midiendo el tiempo de recuperación efectivo (RTO real).</t>
  </si>
  <si>
    <t>Evaluar si los servidores en producción cumplen los requisitos de capacidad (CPU, memoria, almacenamiento) para el año siguiente y planificar actualizaciones de hardware si corresponde.</t>
  </si>
  <si>
    <t>Revisar los contratos de soporte, garantía y licenciamiento de los sistemas operativos en producción y gestionar su renovación. Identificar versiones que alcanzarán fin de soporte durante el año.</t>
  </si>
  <si>
    <t>Revisar y actualizar los procedimientos de recuperación ante desastre (DRP) con los cambios de infraestructura ocurridos durante el año.</t>
  </si>
  <si>
    <t>TOTAL TAREAS</t>
  </si>
  <si>
    <t>Dashboard — Estado del Mantenimiento Programado</t>
  </si>
  <si>
    <t>Cambie el estado de cada tarea en la hoja Checklist. Este dashboard se actualiza automáticamente.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</si>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</sst>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 x14ac:knownFonts="1">
    <font>
      <sz val="11"/>
      <color theme="1"/>
      <name val="Calibri"/>
      <family val="2"/>
      <charset val="1"/>
    </font>
    <font>
      <sz val="10"/>
      <color rgb="FF5F5E5A"/>
      <name val="Georgia"/>
      <charset val="1"/>
    </font>
    <font>
      <b/>
      <sz val="14"/>
      <color rgb="FFFFFFFF"/>
      <name val="Georgia"/>
      <charset val="1"/>
    </font>
    <font>
      <i/>
      <sz val="9"/>
      <color rgb="FF5F5E5A"/>
      <name val="Calibri"/>
      <charset val="1"/>
    </font>
    <font>
      <b/>
      <sz val="9"/>
      <color rgb="FF5F5E5A"/>
      <name val="Calibri"/>
      <charset val="1"/>
    </font>
    <font>
      <sz val="9"/>
      <color rgb="FF000000"/>
      <name val="Calibri"/>
      <charset val="1"/>
    </font>
    <font>
      <b/>
      <sz val="10"/>
      <color rgb="FFFFFFFF"/>
      <name val="Calibri"/>
      <charset val="1"/>
    </font>
    <font>
      <b/>
      <sz val="9"/>
      <color rgb="FF185FA5"/>
      <name val="Calibri"/>
      <charset val="1"/>
    </font>
    <font>
      <b/>
      <sz val="9"/>
      <color rgb="FF3B6D11"/>
      <name val="Calibri"/>
      <charset val="1"/>
    </font>
    <font>
      <b/>
      <sz val="9"/>
      <color rgb="FFBA7517"/>
      <name val="Calibri"/>
      <charset val="1"/>
    </font>
    <font>
      <b/>
      <sz val="11"/>
      <color rgb="FFFFFFFF"/>
      <name val="Calibri"/>
      <charset val="1"/>
    </font>
    <font>
      <b/>
      <sz val="10"/>
      <color rgb="FF185FA5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3B6D11"/>
      <name val="Calibri"/>
      <charset val="1"/>
    </font>
    <font>
      <b/>
      <sz val="10"/>
      <color rgb="FFBA7517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85FA5"/>
        <bgColor rgb="FF008080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D6E4F0"/>
      </patternFill>
    </fill>
    <fill>
      <patternFill patternType="solid">
        <fgColor rgb="FFFFE6CC"/>
        <b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185FA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1" fillId="4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sz val="9"/>
        <color rgb="FF5F5E5A"/>
        <name val="Calibri"/>
        <charset val="1"/>
      </font>
      <fill>
        <patternFill>
          <bgColor rgb="FFF2F2F2"/>
        </patternFill>
      </fill>
    </dxf>
    <dxf>
      <font>
        <b/>
        <sz val="9"/>
        <color rgb="FFBA7517"/>
        <name val="Calibri"/>
        <charset val="1"/>
      </font>
      <fill>
        <patternFill>
          <bgColor rgb="FFFFF2CC"/>
        </patternFill>
      </fill>
    </dxf>
    <dxf>
      <font>
        <b/>
        <sz val="9"/>
        <color rgb="FF3B6D11"/>
        <name val="Calibri"/>
        <charset val="1"/>
      </font>
      <fill>
        <patternFill>
          <bgColor rgb="FFD5E8D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FF2CC"/>
      <rgbColor rgb="FFF2F2F2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E6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zoomScaleNormal="100" workbookViewId="0">
      <pane ySplit="5" topLeftCell="A6" activePane="bottomLeft" state="frozen"/>
      <selection pane="bottomLeft" sqref="A1:G1"/>
    </sheetView>
  </sheetViews>
  <sheetFormatPr baseColWidth="10" defaultColWidth="8.7109375" defaultRowHeight="15" x14ac:dyDescent="0.25"/>
  <cols>
    <col min="1" max="1" width="14" customWidth="1"/>
    <col min="2" max="2" width="5" customWidth="1"/>
    <col min="3" max="3" width="60" customWidth="1"/>
    <col min="4" max="4" width="16" customWidth="1"/>
    <col min="5" max="5" width="22" customWidth="1"/>
    <col min="6" max="6" width="18" customWidth="1"/>
    <col min="7" max="7" width="35" customWidth="1"/>
  </cols>
  <sheetData>
    <row r="1" spans="1:7" ht="13.5" customHeight="1" x14ac:dyDescent="0.25">
      <c r="A1" s="9" t="s">
        <v>0</v>
      </c>
      <c r="B1" s="9"/>
      <c r="C1" s="9"/>
      <c r="D1" s="9"/>
      <c r="E1" s="9"/>
      <c r="F1" s="9"/>
      <c r="G1" s="9"/>
    </row>
    <row r="2" spans="1:7" ht="27.75" customHeight="1" x14ac:dyDescent="0.25">
      <c r="A2" s="8" t="s">
        <v>1</v>
      </c>
      <c r="B2" s="8"/>
      <c r="C2" s="8"/>
      <c r="D2" s="8"/>
      <c r="E2" s="8"/>
      <c r="F2" s="8"/>
      <c r="G2" s="8"/>
    </row>
    <row r="3" spans="1:7" ht="19.5" customHeight="1" x14ac:dyDescent="0.25">
      <c r="A3" s="7" t="s">
        <v>2</v>
      </c>
      <c r="B3" s="7"/>
      <c r="C3" s="7"/>
      <c r="D3" s="7"/>
      <c r="E3" s="7"/>
      <c r="F3" s="7"/>
      <c r="G3" s="7"/>
    </row>
    <row r="4" spans="1:7" ht="15.75" customHeight="1" x14ac:dyDescent="0.25">
      <c r="A4" s="10" t="s">
        <v>3</v>
      </c>
      <c r="B4" s="6"/>
      <c r="C4" s="6"/>
      <c r="D4" s="10" t="s">
        <v>4</v>
      </c>
      <c r="E4" s="11"/>
      <c r="F4" s="10" t="s">
        <v>5</v>
      </c>
      <c r="G4" s="11"/>
    </row>
    <row r="5" spans="1:7" ht="24" customHeight="1" x14ac:dyDescent="0.25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</row>
    <row r="6" spans="1:7" ht="45" customHeight="1" x14ac:dyDescent="0.25">
      <c r="A6" s="5" t="s">
        <v>13</v>
      </c>
      <c r="B6" s="13">
        <v>1</v>
      </c>
      <c r="C6" s="14" t="s">
        <v>14</v>
      </c>
      <c r="D6" s="15" t="s">
        <v>15</v>
      </c>
      <c r="E6" s="15"/>
      <c r="F6" s="16"/>
      <c r="G6" s="14"/>
    </row>
    <row r="7" spans="1:7" ht="45" customHeight="1" x14ac:dyDescent="0.25">
      <c r="A7" s="5"/>
      <c r="B7" s="13">
        <v>2</v>
      </c>
      <c r="C7" s="14" t="s">
        <v>16</v>
      </c>
      <c r="D7" s="15" t="s">
        <v>15</v>
      </c>
      <c r="E7" s="15"/>
      <c r="F7" s="16"/>
      <c r="G7" s="14"/>
    </row>
    <row r="8" spans="1:7" ht="45" customHeight="1" x14ac:dyDescent="0.25">
      <c r="A8" s="5"/>
      <c r="B8" s="13">
        <v>3</v>
      </c>
      <c r="C8" s="14" t="s">
        <v>17</v>
      </c>
      <c r="D8" s="15" t="s">
        <v>15</v>
      </c>
      <c r="E8" s="15"/>
      <c r="F8" s="16"/>
      <c r="G8" s="14"/>
    </row>
    <row r="9" spans="1:7" ht="45" customHeight="1" x14ac:dyDescent="0.25">
      <c r="A9" s="5"/>
      <c r="B9" s="13">
        <v>4</v>
      </c>
      <c r="C9" s="14" t="s">
        <v>18</v>
      </c>
      <c r="D9" s="15" t="s">
        <v>15</v>
      </c>
      <c r="E9" s="15"/>
      <c r="F9" s="16"/>
      <c r="G9" s="14"/>
    </row>
    <row r="10" spans="1:7" ht="45" customHeight="1" x14ac:dyDescent="0.25">
      <c r="A10" s="5"/>
      <c r="B10" s="13">
        <v>5</v>
      </c>
      <c r="C10" s="14" t="s">
        <v>19</v>
      </c>
      <c r="D10" s="15" t="s">
        <v>15</v>
      </c>
      <c r="E10" s="15"/>
      <c r="F10" s="16"/>
      <c r="G10" s="14"/>
    </row>
    <row r="11" spans="1:7" ht="45" customHeight="1" x14ac:dyDescent="0.25">
      <c r="A11" s="5"/>
      <c r="B11" s="13">
        <v>6</v>
      </c>
      <c r="C11" s="14" t="s">
        <v>20</v>
      </c>
      <c r="D11" s="15" t="s">
        <v>15</v>
      </c>
      <c r="E11" s="15"/>
      <c r="F11" s="16"/>
      <c r="G11" s="14"/>
    </row>
    <row r="12" spans="1:7" ht="45" customHeight="1" x14ac:dyDescent="0.25">
      <c r="A12" s="5"/>
      <c r="B12" s="13">
        <v>7</v>
      </c>
      <c r="C12" s="14" t="s">
        <v>21</v>
      </c>
      <c r="D12" s="15" t="s">
        <v>15</v>
      </c>
      <c r="E12" s="15"/>
      <c r="F12" s="16"/>
      <c r="G12" s="14"/>
    </row>
    <row r="13" spans="1:7" ht="45" customHeight="1" x14ac:dyDescent="0.25">
      <c r="A13" s="4" t="s">
        <v>22</v>
      </c>
      <c r="B13" s="17">
        <v>1</v>
      </c>
      <c r="C13" s="14" t="s">
        <v>23</v>
      </c>
      <c r="D13" s="15" t="s">
        <v>15</v>
      </c>
      <c r="E13" s="15"/>
      <c r="F13" s="16"/>
      <c r="G13" s="14"/>
    </row>
    <row r="14" spans="1:7" ht="45" customHeight="1" x14ac:dyDescent="0.25">
      <c r="A14" s="4"/>
      <c r="B14" s="17">
        <v>2</v>
      </c>
      <c r="C14" s="14" t="s">
        <v>24</v>
      </c>
      <c r="D14" s="15" t="s">
        <v>15</v>
      </c>
      <c r="E14" s="15"/>
      <c r="F14" s="16"/>
      <c r="G14" s="14"/>
    </row>
    <row r="15" spans="1:7" ht="45" customHeight="1" x14ac:dyDescent="0.25">
      <c r="A15" s="4"/>
      <c r="B15" s="17">
        <v>3</v>
      </c>
      <c r="C15" s="14" t="s">
        <v>25</v>
      </c>
      <c r="D15" s="15" t="s">
        <v>15</v>
      </c>
      <c r="E15" s="15"/>
      <c r="F15" s="16"/>
      <c r="G15" s="14"/>
    </row>
    <row r="16" spans="1:7" ht="45" customHeight="1" x14ac:dyDescent="0.25">
      <c r="A16" s="4"/>
      <c r="B16" s="17">
        <v>4</v>
      </c>
      <c r="C16" s="14" t="s">
        <v>26</v>
      </c>
      <c r="D16" s="15" t="s">
        <v>15</v>
      </c>
      <c r="E16" s="15"/>
      <c r="F16" s="16"/>
      <c r="G16" s="14"/>
    </row>
    <row r="17" spans="1:7" ht="45" customHeight="1" x14ac:dyDescent="0.25">
      <c r="A17" s="4"/>
      <c r="B17" s="17">
        <v>5</v>
      </c>
      <c r="C17" s="14" t="s">
        <v>27</v>
      </c>
      <c r="D17" s="15" t="s">
        <v>15</v>
      </c>
      <c r="E17" s="15"/>
      <c r="F17" s="16"/>
      <c r="G17" s="14"/>
    </row>
    <row r="18" spans="1:7" ht="45" customHeight="1" x14ac:dyDescent="0.25">
      <c r="A18" s="4"/>
      <c r="B18" s="17">
        <v>6</v>
      </c>
      <c r="C18" s="14" t="s">
        <v>28</v>
      </c>
      <c r="D18" s="15" t="s">
        <v>15</v>
      </c>
      <c r="E18" s="15"/>
      <c r="F18" s="16"/>
      <c r="G18" s="14"/>
    </row>
    <row r="19" spans="1:7" ht="45" customHeight="1" x14ac:dyDescent="0.25">
      <c r="A19" s="4"/>
      <c r="B19" s="17">
        <v>7</v>
      </c>
      <c r="C19" s="14" t="s">
        <v>29</v>
      </c>
      <c r="D19" s="15" t="s">
        <v>15</v>
      </c>
      <c r="E19" s="15"/>
      <c r="F19" s="16"/>
      <c r="G19" s="14"/>
    </row>
    <row r="20" spans="1:7" ht="45" customHeight="1" x14ac:dyDescent="0.25">
      <c r="A20" s="3" t="s">
        <v>30</v>
      </c>
      <c r="B20" s="18">
        <v>1</v>
      </c>
      <c r="C20" s="14" t="s">
        <v>31</v>
      </c>
      <c r="D20" s="15" t="s">
        <v>15</v>
      </c>
      <c r="E20" s="15"/>
      <c r="F20" s="16"/>
      <c r="G20" s="14"/>
    </row>
    <row r="21" spans="1:7" ht="45" customHeight="1" x14ac:dyDescent="0.25">
      <c r="A21" s="3"/>
      <c r="B21" s="18">
        <v>2</v>
      </c>
      <c r="C21" s="14" t="s">
        <v>32</v>
      </c>
      <c r="D21" s="15" t="s">
        <v>15</v>
      </c>
      <c r="E21" s="15"/>
      <c r="F21" s="16"/>
      <c r="G21" s="14"/>
    </row>
    <row r="22" spans="1:7" ht="45" customHeight="1" x14ac:dyDescent="0.25">
      <c r="A22" s="3"/>
      <c r="B22" s="18">
        <v>3</v>
      </c>
      <c r="C22" s="14" t="s">
        <v>33</v>
      </c>
      <c r="D22" s="15" t="s">
        <v>15</v>
      </c>
      <c r="E22" s="15"/>
      <c r="F22" s="16"/>
      <c r="G22" s="14"/>
    </row>
    <row r="23" spans="1:7" ht="45" customHeight="1" x14ac:dyDescent="0.25">
      <c r="A23" s="3"/>
      <c r="B23" s="18">
        <v>4</v>
      </c>
      <c r="C23" s="14" t="s">
        <v>34</v>
      </c>
      <c r="D23" s="15" t="s">
        <v>15</v>
      </c>
      <c r="E23" s="15"/>
      <c r="F23" s="16"/>
      <c r="G23" s="14"/>
    </row>
    <row r="24" spans="1:7" ht="45" customHeight="1" x14ac:dyDescent="0.25">
      <c r="A24" s="3"/>
      <c r="B24" s="18">
        <v>5</v>
      </c>
      <c r="C24" s="14" t="s">
        <v>35</v>
      </c>
      <c r="D24" s="15" t="s">
        <v>15</v>
      </c>
      <c r="E24" s="15"/>
      <c r="F24" s="16"/>
      <c r="G24" s="14"/>
    </row>
    <row r="25" spans="1:7" ht="45" customHeight="1" x14ac:dyDescent="0.25">
      <c r="A25" s="3"/>
      <c r="B25" s="18">
        <v>6</v>
      </c>
      <c r="C25" s="14" t="s">
        <v>36</v>
      </c>
      <c r="D25" s="15" t="s">
        <v>15</v>
      </c>
      <c r="E25" s="15"/>
      <c r="F25" s="16"/>
      <c r="G25" s="14"/>
    </row>
    <row r="26" spans="1:7" ht="19.5" customHeight="1" x14ac:dyDescent="0.25">
      <c r="A26" s="2" t="s">
        <v>37</v>
      </c>
      <c r="B26" s="2"/>
      <c r="C26" s="19">
        <v>20</v>
      </c>
      <c r="D26" s="20"/>
      <c r="E26" s="20"/>
      <c r="F26" s="20"/>
      <c r="G26" s="20"/>
    </row>
  </sheetData>
  <mergeCells count="8">
    <mergeCell ref="A13:A19"/>
    <mergeCell ref="A20:A25"/>
    <mergeCell ref="A26:B26"/>
    <mergeCell ref="A1:G1"/>
    <mergeCell ref="A2:G2"/>
    <mergeCell ref="A3:G3"/>
    <mergeCell ref="B4:C4"/>
    <mergeCell ref="A6:A12"/>
  </mergeCells>
  <conditionalFormatting sqref="D6:D25">
    <cfRule type="cellIs" dxfId="2" priority="2" operator="equal">
      <formula>"Completada"</formula>
    </cfRule>
    <cfRule type="cellIs" dxfId="1" priority="3" operator="equal">
      <formula>"En progreso"</formula>
    </cfRule>
    <cfRule type="cellIs" dxfId="0" priority="4" operator="equal">
      <formula>"No aplica"</formula>
    </cfRule>
  </conditionalFormatting>
  <dataValidations count="1">
    <dataValidation type="list" showErrorMessage="1" errorTitle="Valor no válido" error="Seleccione una opción de la lista." sqref="D6:D25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18" customWidth="1"/>
    <col min="2" max="6" width="14" customWidth="1"/>
  </cols>
  <sheetData>
    <row r="1" spans="1:6" ht="13.5" customHeight="1" x14ac:dyDescent="0.25">
      <c r="A1" s="9" t="s">
        <v>0</v>
      </c>
      <c r="B1" s="9"/>
      <c r="C1" s="9"/>
      <c r="D1" s="9"/>
      <c r="E1" s="9"/>
      <c r="F1" s="9"/>
    </row>
    <row r="2" spans="1:6" ht="27.75" customHeight="1" x14ac:dyDescent="0.25">
      <c r="A2" s="8" t="s">
        <v>38</v>
      </c>
      <c r="B2" s="8"/>
      <c r="C2" s="8"/>
      <c r="D2" s="8"/>
      <c r="E2" s="8"/>
      <c r="F2" s="8"/>
    </row>
    <row r="3" spans="1:6" ht="15.75" customHeight="1" x14ac:dyDescent="0.25">
      <c r="A3" s="7" t="s">
        <v>39</v>
      </c>
      <c r="B3" s="7"/>
      <c r="C3" s="7"/>
      <c r="D3" s="7"/>
      <c r="E3" s="7"/>
      <c r="F3" s="7"/>
    </row>
    <row r="4" spans="1:6" ht="21.75" customHeight="1" x14ac:dyDescent="0.25">
      <c r="A4" s="12" t="s">
        <v>6</v>
      </c>
      <c r="B4" s="12" t="s">
        <v>40</v>
      </c>
      <c r="C4" s="12" t="s">
        <v>15</v>
      </c>
      <c r="D4" s="12" t="s">
        <v>41</v>
      </c>
      <c r="E4" s="12" t="s">
        <v>42</v>
      </c>
      <c r="F4" s="12" t="s">
        <v>43</v>
      </c>
    </row>
    <row r="5" spans="1:6" ht="19.5" customHeight="1" x14ac:dyDescent="0.25">
      <c r="A5" s="21" t="s">
        <v>13</v>
      </c>
      <c r="B5" s="22">
        <v>7</v>
      </c>
      <c r="C5" s="23">
        <f>COUNTIF(Checklist!D6:D12,"Pendiente")</f>
        <v>7</v>
      </c>
      <c r="D5" s="23">
        <f>COUNTIF(Checklist!D6:D12,"En progreso")</f>
        <v>0</v>
      </c>
      <c r="E5" s="23">
        <f>COUNTIF(Checklist!D6:D12,"Completada")</f>
        <v>0</v>
      </c>
      <c r="F5" s="23">
        <f>COUNTIF(Checklist!D6:D12,"No aplica")</f>
        <v>0</v>
      </c>
    </row>
    <row r="6" spans="1:6" ht="19.5" customHeight="1" x14ac:dyDescent="0.25">
      <c r="A6" s="24" t="s">
        <v>22</v>
      </c>
      <c r="B6" s="22">
        <v>7</v>
      </c>
      <c r="C6" s="23">
        <f>COUNTIF(Checklist!D13:D19,"Pendiente")</f>
        <v>7</v>
      </c>
      <c r="D6" s="23">
        <f>COUNTIF(Checklist!D13:D19,"En progreso")</f>
        <v>0</v>
      </c>
      <c r="E6" s="23">
        <f>COUNTIF(Checklist!D13:D19,"Completada")</f>
        <v>0</v>
      </c>
      <c r="F6" s="23">
        <f>COUNTIF(Checklist!D13:D19,"No aplica")</f>
        <v>0</v>
      </c>
    </row>
    <row r="7" spans="1:6" ht="19.5" customHeight="1" x14ac:dyDescent="0.25">
      <c r="A7" s="25" t="s">
        <v>30</v>
      </c>
      <c r="B7" s="22">
        <v>6</v>
      </c>
      <c r="C7" s="23">
        <f>COUNTIF(Checklist!D20:D25,"Pendiente")</f>
        <v>6</v>
      </c>
      <c r="D7" s="23">
        <f>COUNTIF(Checklist!D20:D25,"En progreso")</f>
        <v>0</v>
      </c>
      <c r="E7" s="23">
        <f>COUNTIF(Checklist!D20:D25,"Completada")</f>
        <v>0</v>
      </c>
      <c r="F7" s="23">
        <f>COUNTIF(Checklist!D20:D25,"No aplica")</f>
        <v>0</v>
      </c>
    </row>
    <row r="8" spans="1:6" ht="19.5" customHeight="1" x14ac:dyDescent="0.25">
      <c r="A8" s="26" t="s">
        <v>44</v>
      </c>
      <c r="B8" s="26">
        <v>20</v>
      </c>
      <c r="C8" s="26">
        <f>SUM(C5:C7)</f>
        <v>20</v>
      </c>
      <c r="D8" s="26">
        <f>SUM(D5:D7)</f>
        <v>0</v>
      </c>
      <c r="E8" s="26">
        <f>SUM(E5:E7)</f>
        <v>0</v>
      </c>
      <c r="F8" s="26">
        <f>SUM(F5:F7)</f>
        <v>0</v>
      </c>
    </row>
    <row r="10" spans="1:6" x14ac:dyDescent="0.25">
      <c r="A10" s="1" t="s">
        <v>45</v>
      </c>
      <c r="B10" s="1"/>
      <c r="C10" s="1"/>
      <c r="D10" s="1"/>
      <c r="E10" s="1"/>
      <c r="F10" s="1"/>
    </row>
  </sheetData>
  <mergeCells count="4">
    <mergeCell ref="A1:F1"/>
    <mergeCell ref="A2:F2"/>
    <mergeCell ref="A3:F3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2026-06-18T22:02:57Z</dcterms:created>
  <dcterms:modified xsi:type="dcterms:W3CDTF">2026-06-18T22:17:55Z</dcterms:modified>
  <dc:language>en-US</dc:language>
</cp:coreProperties>
</file>