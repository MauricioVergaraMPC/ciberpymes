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D9CB56619CC09926418D50E5AABF02F9665B878F" xr6:coauthVersionLast="47" xr6:coauthVersionMax="47" xr10:uidLastSave="{C4E5D58A-C882-46FB-9020-DF32228CC9FD}"/>
  <bookViews>
    <workbookView xWindow="-120" yWindow="-120" windowWidth="29040" windowHeight="15990" tabRatio="500" xr2:uid="{00000000-000D-0000-FFFF-FFFF00000000}"/>
  </bookViews>
  <sheets>
    <sheet name="Checklist" sheetId="1" r:id="rId1"/>
    <sheet name="Dashboar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0" i="2" l="1"/>
  <c r="E10" i="2"/>
  <c r="G10" i="2" s="1"/>
  <c r="D10" i="2"/>
  <c r="C10" i="2"/>
  <c r="F9" i="2"/>
  <c r="E9" i="2"/>
  <c r="G9" i="2" s="1"/>
  <c r="D9" i="2"/>
  <c r="C9" i="2"/>
  <c r="G8" i="2"/>
  <c r="F8" i="2"/>
  <c r="E8" i="2"/>
  <c r="D8" i="2"/>
  <c r="C8" i="2"/>
  <c r="F7" i="2"/>
  <c r="E7" i="2"/>
  <c r="G7" i="2" s="1"/>
  <c r="D7" i="2"/>
  <c r="C7" i="2"/>
  <c r="F6" i="2"/>
  <c r="E6" i="2"/>
  <c r="G6" i="2" s="1"/>
  <c r="D6" i="2"/>
  <c r="C6" i="2"/>
  <c r="F5" i="2"/>
  <c r="F11" i="2" s="1"/>
  <c r="E5" i="2"/>
  <c r="E11" i="2" s="1"/>
  <c r="D5" i="2"/>
  <c r="D11" i="2" s="1"/>
  <c r="C5" i="2"/>
  <c r="C11" i="2" s="1"/>
  <c r="G5" i="2" l="1"/>
  <c r="G11" i="2" s="1"/>
</calcChain>
</file>

<file path=xl/sharedStrings.xml><?xml version="1.0" encoding="utf-8"?>
<sst xmlns="http://schemas.openxmlformats.org/spreadsheetml/2006/main" count="149" uniqueCount="88">
  <si>
    <t>CIBERPROTECCIÓN PARA PyMES  ·  Capítulo 7 — Servidores</t>
  </si>
  <si>
    <t>Lista de Verificación — Segurización de Servidores</t>
  </si>
  <si>
    <t>Marque el estado de cada control. El Dashboard se actualiza automáticamente.</t>
  </si>
  <si>
    <t>Servidor:</t>
  </si>
  <si>
    <t>Responsable:</t>
  </si>
  <si>
    <t>Fecha:</t>
  </si>
  <si>
    <t>Función NIST</t>
  </si>
  <si>
    <t>Subgrupo</t>
  </si>
  <si>
    <t>N°</t>
  </si>
  <si>
    <t>Control</t>
  </si>
  <si>
    <t>Estado</t>
  </si>
  <si>
    <t>Responsable</t>
  </si>
  <si>
    <t>Fecha</t>
  </si>
  <si>
    <t>Observaciones</t>
  </si>
  <si>
    <t>GOBERNANZA</t>
  </si>
  <si>
    <t>Definir la Política de Gestión de Servidores</t>
  </si>
  <si>
    <t>Pendiente</t>
  </si>
  <si>
    <t>Definir estándares de configuración base (hardening baseline)</t>
  </si>
  <si>
    <t>Prohibir el uso de herramientas de acceso remoto de terceros en servidores de producción (TeamViewer, AnyDesk, LogMeIn)</t>
  </si>
  <si>
    <t>Establecer proceso de gestión de cambios en servidores</t>
  </si>
  <si>
    <t>IDENTIFICACIÓN</t>
  </si>
  <si>
    <t>Levantar listado de servidores (inventario en CMDB)</t>
  </si>
  <si>
    <t>Determinar Línea Base de Seguridad por tipo de servidor</t>
  </si>
  <si>
    <t>Establecer KRIs de servidores y umbrales de alerta</t>
  </si>
  <si>
    <t>PROTECCIÓN</t>
  </si>
  <si>
    <t>Seguridad física</t>
  </si>
  <si>
    <t>Segurizar entorno físico (rack cerrado, sala con llave, control de acceso físico)</t>
  </si>
  <si>
    <t>Red</t>
  </si>
  <si>
    <t>Segmentar subredes internas por rol de servidor</t>
  </si>
  <si>
    <t>Continuidad</t>
  </si>
  <si>
    <t>Ejecutar copias de seguridad bare-metal de cada servidor</t>
  </si>
  <si>
    <t>Actualizar Sistemas Operativos (parches y versiones en soporte)</t>
  </si>
  <si>
    <t>Ejecutar mantenimientos programados (mensual y trimestral)</t>
  </si>
  <si>
    <t>Hardening — Windows</t>
  </si>
  <si>
    <t>Renombrar o deshabilitar la cuenta Administrador por defecto</t>
  </si>
  <si>
    <t>Deshabilitar servicios y puertos no requeridos</t>
  </si>
  <si>
    <t>Habilitar Windows Defender y configurar exclusiones mínimas</t>
  </si>
  <si>
    <t>Configurar Windows Firewall con reglas de entrada restrictivas</t>
  </si>
  <si>
    <t>Configurar UAC (Control de Cuentas de Usuario) en nivel máximo</t>
  </si>
  <si>
    <t>Implementar Antivirus y mantenerlo actualizado</t>
  </si>
  <si>
    <t>Usar Windows LAPS para gestión de contraseñas de administrador local</t>
  </si>
  <si>
    <t>Aplicar política de contraseñas y bloqueo de cuentas locales (mínimo 12 caracteres, bloqueo tras 5 intentos fallidos)</t>
  </si>
  <si>
    <t>Deshabilitar SMBv1</t>
  </si>
  <si>
    <t>Deshabilitar NetBIOS y LLMNR</t>
  </si>
  <si>
    <t>Habilitar auditoría de eventos de seguridad (auditpol / GPO)</t>
  </si>
  <si>
    <t>Configurar Windows Update para aplicar parches de seguridad (WSUS)</t>
  </si>
  <si>
    <t>Cifrar volúmenes del sistema operativo con BitLocker</t>
  </si>
  <si>
    <t>Sincronizar fuente horaria mediante NTP</t>
  </si>
  <si>
    <t>Controlar el acceso mediante RDP: deshabilitar si no se requiere, restringir por IP de origen, cambiar puerto por defecto, exigir MFA</t>
  </si>
  <si>
    <t>Verificar configuración con Microsoft Security Compliance Toolkit</t>
  </si>
  <si>
    <t>Hardening — Linux</t>
  </si>
  <si>
    <t>Gestionar usuarios con privilegios de root (sudo; deshabilitar acceso directo root por consola y SSH)</t>
  </si>
  <si>
    <t>Configurar SSH: deshabilitar root login, usar autenticación por clave, restringir IPs de origen</t>
  </si>
  <si>
    <t>Configurar UFW (Uncomplicated Firewall) o iptables</t>
  </si>
  <si>
    <t>Habilitar SELinux o AppArmor en modo enforce</t>
  </si>
  <si>
    <t>Implementar Antivirus (ClamAV u equivalente)</t>
  </si>
  <si>
    <t>Aplicar política de contraseñas y bloqueo de cuentas (PAM / pam_pwquality y pam_faillock)</t>
  </si>
  <si>
    <t>Habilitar actualizaciones automáticas de seguridad (unattended-upgrades / dnf-automatic)</t>
  </si>
  <si>
    <t>Instalar y configurar fail2ban</t>
  </si>
  <si>
    <t>Aplicar parámetros de seguridad del kernel mediante sysctl (ASLR, rp_filter, tcp_syncookies)</t>
  </si>
  <si>
    <t>Sincronizar fuente horaria mediante NTP/Chrony</t>
  </si>
  <si>
    <t>Auditar el estado del hardening con Lynis</t>
  </si>
  <si>
    <t>Anti-ransomware y Firewall</t>
  </si>
  <si>
    <t>Desplegar software anti-ransomware en todos los servidores</t>
  </si>
  <si>
    <t>Desplegar y configurar Firewall perimetral y de host</t>
  </si>
  <si>
    <t>DETECCIÓN</t>
  </si>
  <si>
    <t>Monitorizar disponibilidad (uptime, servicios críticos, umbrales)</t>
  </si>
  <si>
    <t>Monitorizar seguridad (creación de usuarios, cambios de privilegios, intentos de acceso fallidos, EDR o equivalente)</t>
  </si>
  <si>
    <t>Monitorizar eventos / logs (centralizar logs Windows y Linux; revisar auth.log, syslog, Event Log de Seguridad)</t>
  </si>
  <si>
    <t>Ejecutar escaneo de vulnerabilidades periódico</t>
  </si>
  <si>
    <t>RESPUESTA</t>
  </si>
  <si>
    <t>Diseñar Planes de Respuesta a Incidentes de servidor</t>
  </si>
  <si>
    <t>Evaluar y probar los planes de respuesta (simulacros periódicos)</t>
  </si>
  <si>
    <t>Contener y aislar el servidor afectado ante un incidente</t>
  </si>
  <si>
    <t>RECUPERACIÓN</t>
  </si>
  <si>
    <t>Preservar evidencia forense antes de intervenir el servidor</t>
  </si>
  <si>
    <t>Recuperar el sistema operativo desde backup bare-metal verificado</t>
  </si>
  <si>
    <t>Ejecutar análisis post-mortem y documentar causa raíz y acciones correctivas en el ITSM</t>
  </si>
  <si>
    <t>TOTAL CONTROLES</t>
  </si>
  <si>
    <t>Dashboard — Estado de la Lista de Verificación</t>
  </si>
  <si>
    <t>Actualice los estados en la hoja Checklist. Este panel se recalcula automáticamente.</t>
  </si>
  <si>
    <t>Total</t>
  </si>
  <si>
    <t>En progreso</t>
  </si>
  <si>
    <t>Completado</t>
  </si>
  <si>
    <t>No aplica</t>
  </si>
  <si>
    <t>% Completado</t>
  </si>
  <si>
    <t>TOTAL GENERAL</t>
  </si>
  <si>
    <t>Estados: Pendiente · En progreso · Completado · 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</si>
</sst>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8" x14ac:knownFonts="1">
    <font>
      <sz val="11"/>
      <color theme="1"/>
      <name val="Calibri"/>
      <family val="2"/>
      <charset val="1"/>
    </font>
    <font>
      <sz val="10"/>
      <color rgb="FF5F5E5A"/>
      <name val="Georgia"/>
      <charset val="1"/>
    </font>
    <font>
      <b/>
      <sz val="14"/>
      <color rgb="FFFFFFFF"/>
      <name val="Georgia"/>
      <charset val="1"/>
    </font>
    <font>
      <i/>
      <sz val="9"/>
      <color rgb="FF5F5E5A"/>
      <name val="Calibri"/>
      <charset val="1"/>
    </font>
    <font>
      <b/>
      <sz val="9"/>
      <color rgb="FF5F5E5A"/>
      <name val="Calibri"/>
      <charset val="1"/>
    </font>
    <font>
      <sz val="9"/>
      <name val="Calibri"/>
      <charset val="1"/>
    </font>
    <font>
      <b/>
      <sz val="10"/>
      <color rgb="FFFFFFFF"/>
      <name val="Calibri"/>
      <charset val="1"/>
    </font>
    <font>
      <b/>
      <sz val="9"/>
      <color rgb="FF185FA5"/>
      <name val="Calibri"/>
      <charset val="1"/>
    </font>
    <font>
      <i/>
      <sz val="9"/>
      <color rgb="FF185FA5"/>
      <name val="Calibri"/>
      <charset val="1"/>
    </font>
    <font>
      <b/>
      <sz val="9"/>
      <color rgb="FF1A6FA3"/>
      <name val="Calibri"/>
      <charset val="1"/>
    </font>
    <font>
      <i/>
      <sz val="9"/>
      <color rgb="FF1A6FA3"/>
      <name val="Calibri"/>
      <charset val="1"/>
    </font>
    <font>
      <b/>
      <sz val="9"/>
      <color rgb="FF3B6D11"/>
      <name val="Calibri"/>
      <charset val="1"/>
    </font>
    <font>
      <i/>
      <sz val="9"/>
      <color rgb="FF3B6D11"/>
      <name val="Calibri"/>
      <charset val="1"/>
    </font>
    <font>
      <b/>
      <sz val="9"/>
      <color rgb="FFBA7517"/>
      <name val="Calibri"/>
      <charset val="1"/>
    </font>
    <font>
      <i/>
      <sz val="9"/>
      <color rgb="FFBA7517"/>
      <name val="Calibri"/>
      <charset val="1"/>
    </font>
    <font>
      <b/>
      <sz val="9"/>
      <color rgb="FFA32D2D"/>
      <name val="Calibri"/>
      <charset val="1"/>
    </font>
    <font>
      <i/>
      <sz val="9"/>
      <color rgb="FFA32D2D"/>
      <name val="Calibri"/>
      <charset val="1"/>
    </font>
    <font>
      <b/>
      <sz val="9"/>
      <color rgb="FF6B3FA0"/>
      <name val="Calibri"/>
      <charset val="1"/>
    </font>
    <font>
      <i/>
      <sz val="9"/>
      <color rgb="FF6B3FA0"/>
      <name val="Calibri"/>
      <charset val="1"/>
    </font>
    <font>
      <b/>
      <sz val="11"/>
      <color rgb="FFFFFFFF"/>
      <name val="Calibri"/>
      <charset val="1"/>
    </font>
    <font>
      <b/>
      <sz val="10"/>
      <color rgb="FF185FA5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b/>
      <sz val="10"/>
      <color rgb="FF3B6D11"/>
      <name val="Calibri"/>
      <charset val="1"/>
    </font>
    <font>
      <b/>
      <sz val="10"/>
      <color rgb="FF1A6FA3"/>
      <name val="Calibri"/>
      <charset val="1"/>
    </font>
    <font>
      <b/>
      <sz val="10"/>
      <color rgb="FFBA7517"/>
      <name val="Calibri"/>
      <charset val="1"/>
    </font>
    <font>
      <b/>
      <sz val="10"/>
      <color rgb="FFA32D2D"/>
      <name val="Calibri"/>
      <charset val="1"/>
    </font>
    <font>
      <b/>
      <sz val="10"/>
      <color rgb="FF6B3FA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F3EEF8"/>
      </patternFill>
    </fill>
    <fill>
      <patternFill patternType="solid">
        <fgColor rgb="FF185FA5"/>
        <bgColor rgb="FF1A6FA3"/>
      </patternFill>
    </fill>
    <fill>
      <patternFill patternType="solid">
        <fgColor rgb="FFE8EEF7"/>
        <bgColor rgb="FFEAF4FB"/>
      </patternFill>
    </fill>
    <fill>
      <patternFill patternType="solid">
        <fgColor rgb="FFEAF4FB"/>
        <bgColor rgb="FFE8EEF7"/>
      </patternFill>
    </fill>
    <fill>
      <patternFill patternType="solid">
        <fgColor rgb="FFE8F4E8"/>
        <bgColor rgb="FFEAF4FB"/>
      </patternFill>
    </fill>
    <fill>
      <patternFill patternType="solid">
        <fgColor rgb="FFFFF8E6"/>
        <bgColor rgb="FFF2F2F2"/>
      </patternFill>
    </fill>
    <fill>
      <patternFill patternType="solid">
        <fgColor rgb="FFFDECEA"/>
        <bgColor rgb="FFF3EEF8"/>
      </patternFill>
    </fill>
    <fill>
      <patternFill patternType="solid">
        <fgColor rgb="FFF3EEF8"/>
        <bgColor rgb="FFF2F2F2"/>
      </patternFill>
    </fill>
  </fills>
  <borders count="5">
    <border>
      <left/>
      <right/>
      <top/>
      <bottom/>
      <diagonal/>
    </border>
    <border>
      <left/>
      <right/>
      <top/>
      <bottom style="thin">
        <color rgb="FF185FA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 applyAlignment="1">
      <alignment horizontal="left" vertical="center"/>
    </xf>
    <xf numFmtId="0" fontId="6" fillId="3" borderId="4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1" xfId="0" applyFont="1" applyBorder="1"/>
    <xf numFmtId="0" fontId="6" fillId="3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 wrapText="1"/>
    </xf>
    <xf numFmtId="0" fontId="15" fillId="8" borderId="3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20" fillId="4" borderId="3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9" fontId="23" fillId="0" borderId="3" xfId="0" applyNumberFormat="1" applyFont="1" applyBorder="1" applyAlignment="1">
      <alignment horizontal="center" vertical="center"/>
    </xf>
    <xf numFmtId="0" fontId="24" fillId="5" borderId="3" xfId="0" applyFont="1" applyFill="1" applyBorder="1" applyAlignment="1">
      <alignment horizontal="center" vertical="center"/>
    </xf>
    <xf numFmtId="0" fontId="23" fillId="6" borderId="3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0" fontId="26" fillId="8" borderId="3" xfId="0" applyFont="1" applyFill="1" applyBorder="1" applyAlignment="1">
      <alignment horizontal="center" vertical="center"/>
    </xf>
    <xf numFmtId="0" fontId="27" fillId="9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9" fontId="6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sz val="9"/>
        <color rgb="FF5F5E5A"/>
        <name val="Calibri"/>
        <charset val="1"/>
      </font>
      <fill>
        <patternFill>
          <bgColor rgb="FFF2F2F2"/>
        </patternFill>
      </fill>
    </dxf>
    <dxf>
      <font>
        <b/>
        <sz val="9"/>
        <color rgb="FFBA7517"/>
        <name val="Calibri"/>
        <charset val="1"/>
      </font>
      <fill>
        <patternFill>
          <bgColor rgb="FFFFF2CC"/>
        </patternFill>
      </fill>
    </dxf>
    <dxf>
      <font>
        <b/>
        <sz val="9"/>
        <color rgb="FF3B6D11"/>
        <name val="Calibri"/>
        <charset val="1"/>
      </font>
      <fill>
        <patternFill>
          <bgColor rgb="FFD5E8D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BA7517"/>
      <rgbColor rgb="FF800080"/>
      <rgbColor rgb="FF1A6FA3"/>
      <rgbColor rgb="FFD3D1C7"/>
      <rgbColor rgb="FF808080"/>
      <rgbColor rgb="FF9999FF"/>
      <rgbColor rgb="FF993366"/>
      <rgbColor rgb="FFFFF2CC"/>
      <rgbColor rgb="FFEAF4FB"/>
      <rgbColor rgb="FF660066"/>
      <rgbColor rgb="FFFF8080"/>
      <rgbColor rgb="FF185FA5"/>
      <rgbColor rgb="FFE8EE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E8"/>
      <rgbColor rgb="FFD5E8D4"/>
      <rgbColor rgb="FFFFF8E6"/>
      <rgbColor rgb="FFF3EEF8"/>
      <rgbColor rgb="FFF2F2F2"/>
      <rgbColor rgb="FFCC99FF"/>
      <rgbColor rgb="FFFDECEA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333300"/>
      <rgbColor rgb="FFA32D2D"/>
      <rgbColor rgb="FF993366"/>
      <rgbColor rgb="FF6B3FA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showGridLines="0" tabSelected="1" zoomScaleNormal="100" workbookViewId="0">
      <pane ySplit="5" topLeftCell="A6" activePane="bottomLeft" state="frozen"/>
      <selection pane="bottomLeft" sqref="A1:H1"/>
    </sheetView>
  </sheetViews>
  <sheetFormatPr baseColWidth="10" defaultColWidth="8.7109375" defaultRowHeight="15" x14ac:dyDescent="0.25"/>
  <cols>
    <col min="1" max="1" width="18" customWidth="1"/>
    <col min="2" max="2" width="22" customWidth="1"/>
    <col min="3" max="3" width="5" customWidth="1"/>
    <col min="4" max="4" width="60" customWidth="1"/>
    <col min="5" max="5" width="16" customWidth="1"/>
    <col min="6" max="6" width="22" customWidth="1"/>
    <col min="7" max="7" width="18" customWidth="1"/>
    <col min="8" max="8" width="35" customWidth="1"/>
  </cols>
  <sheetData>
    <row r="1" spans="1:8" ht="13.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</row>
    <row r="2" spans="1:8" ht="30" customHeight="1" x14ac:dyDescent="0.25">
      <c r="A2" s="11" t="s">
        <v>1</v>
      </c>
      <c r="B2" s="11"/>
      <c r="C2" s="11"/>
      <c r="D2" s="11"/>
      <c r="E2" s="11"/>
      <c r="F2" s="11"/>
      <c r="G2" s="11"/>
      <c r="H2" s="11"/>
    </row>
    <row r="3" spans="1:8" ht="13.5" customHeight="1" x14ac:dyDescent="0.25">
      <c r="A3" s="10" t="s">
        <v>2</v>
      </c>
      <c r="B3" s="10"/>
      <c r="C3" s="10"/>
      <c r="D3" s="10"/>
      <c r="E3" s="10"/>
      <c r="F3" s="10"/>
      <c r="G3" s="10"/>
      <c r="H3" s="10"/>
    </row>
    <row r="4" spans="1:8" ht="18" customHeight="1" x14ac:dyDescent="0.25">
      <c r="A4" s="13" t="s">
        <v>3</v>
      </c>
      <c r="B4" s="14"/>
      <c r="C4" s="13" t="s">
        <v>4</v>
      </c>
      <c r="D4" s="9"/>
      <c r="E4" s="9"/>
      <c r="F4" s="13" t="s">
        <v>5</v>
      </c>
      <c r="G4" s="9"/>
      <c r="H4" s="9"/>
    </row>
    <row r="5" spans="1:8" ht="21.75" customHeight="1" x14ac:dyDescent="0.25">
      <c r="A5" s="15" t="s">
        <v>6</v>
      </c>
      <c r="B5" s="15" t="s">
        <v>7</v>
      </c>
      <c r="C5" s="15" t="s">
        <v>8</v>
      </c>
      <c r="D5" s="15" t="s">
        <v>9</v>
      </c>
      <c r="E5" s="15" t="s">
        <v>10</v>
      </c>
      <c r="F5" s="15" t="s">
        <v>11</v>
      </c>
      <c r="G5" s="15" t="s">
        <v>12</v>
      </c>
      <c r="H5" s="15" t="s">
        <v>13</v>
      </c>
    </row>
    <row r="6" spans="1:8" ht="37.5" customHeight="1" x14ac:dyDescent="0.25">
      <c r="A6" s="8" t="s">
        <v>14</v>
      </c>
      <c r="B6" s="16"/>
      <c r="C6" s="17">
        <v>1</v>
      </c>
      <c r="D6" s="18" t="s">
        <v>15</v>
      </c>
      <c r="E6" s="19" t="s">
        <v>16</v>
      </c>
      <c r="F6" s="19"/>
      <c r="G6" s="20"/>
      <c r="H6" s="18"/>
    </row>
    <row r="7" spans="1:8" ht="37.5" customHeight="1" x14ac:dyDescent="0.25">
      <c r="A7" s="8"/>
      <c r="B7" s="16"/>
      <c r="C7" s="17">
        <v>2</v>
      </c>
      <c r="D7" s="18" t="s">
        <v>17</v>
      </c>
      <c r="E7" s="19" t="s">
        <v>16</v>
      </c>
      <c r="F7" s="19"/>
      <c r="G7" s="20"/>
      <c r="H7" s="18"/>
    </row>
    <row r="8" spans="1:8" ht="37.5" customHeight="1" x14ac:dyDescent="0.25">
      <c r="A8" s="8"/>
      <c r="B8" s="16"/>
      <c r="C8" s="17">
        <v>3</v>
      </c>
      <c r="D8" s="18" t="s">
        <v>18</v>
      </c>
      <c r="E8" s="19" t="s">
        <v>16</v>
      </c>
      <c r="F8" s="19"/>
      <c r="G8" s="20"/>
      <c r="H8" s="18"/>
    </row>
    <row r="9" spans="1:8" ht="37.5" customHeight="1" x14ac:dyDescent="0.25">
      <c r="A9" s="8"/>
      <c r="B9" s="16"/>
      <c r="C9" s="17">
        <v>4</v>
      </c>
      <c r="D9" s="18" t="s">
        <v>19</v>
      </c>
      <c r="E9" s="19" t="s">
        <v>16</v>
      </c>
      <c r="F9" s="19"/>
      <c r="G9" s="20"/>
      <c r="H9" s="18"/>
    </row>
    <row r="10" spans="1:8" ht="37.5" customHeight="1" x14ac:dyDescent="0.25">
      <c r="A10" s="7" t="s">
        <v>20</v>
      </c>
      <c r="B10" s="21"/>
      <c r="C10" s="22">
        <v>1</v>
      </c>
      <c r="D10" s="18" t="s">
        <v>21</v>
      </c>
      <c r="E10" s="19" t="s">
        <v>16</v>
      </c>
      <c r="F10" s="19"/>
      <c r="G10" s="20"/>
      <c r="H10" s="18"/>
    </row>
    <row r="11" spans="1:8" ht="37.5" customHeight="1" x14ac:dyDescent="0.25">
      <c r="A11" s="7"/>
      <c r="B11" s="21"/>
      <c r="C11" s="22">
        <v>2</v>
      </c>
      <c r="D11" s="18" t="s">
        <v>22</v>
      </c>
      <c r="E11" s="19" t="s">
        <v>16</v>
      </c>
      <c r="F11" s="19"/>
      <c r="G11" s="20"/>
      <c r="H11" s="18"/>
    </row>
    <row r="12" spans="1:8" ht="37.5" customHeight="1" x14ac:dyDescent="0.25">
      <c r="A12" s="7"/>
      <c r="B12" s="21"/>
      <c r="C12" s="22">
        <v>3</v>
      </c>
      <c r="D12" s="18" t="s">
        <v>23</v>
      </c>
      <c r="E12" s="19" t="s">
        <v>16</v>
      </c>
      <c r="F12" s="19"/>
      <c r="G12" s="20"/>
      <c r="H12" s="18"/>
    </row>
    <row r="13" spans="1:8" ht="37.5" customHeight="1" x14ac:dyDescent="0.25">
      <c r="A13" s="6" t="s">
        <v>24</v>
      </c>
      <c r="B13" s="23" t="s">
        <v>25</v>
      </c>
      <c r="C13" s="24">
        <v>1</v>
      </c>
      <c r="D13" s="18" t="s">
        <v>26</v>
      </c>
      <c r="E13" s="19" t="s">
        <v>16</v>
      </c>
      <c r="F13" s="19"/>
      <c r="G13" s="20"/>
      <c r="H13" s="18"/>
    </row>
    <row r="14" spans="1:8" ht="37.5" customHeight="1" x14ac:dyDescent="0.25">
      <c r="A14" s="6"/>
      <c r="B14" s="23" t="s">
        <v>27</v>
      </c>
      <c r="C14" s="24">
        <v>2</v>
      </c>
      <c r="D14" s="18" t="s">
        <v>28</v>
      </c>
      <c r="E14" s="19" t="s">
        <v>16</v>
      </c>
      <c r="F14" s="19"/>
      <c r="G14" s="20"/>
      <c r="H14" s="18"/>
    </row>
    <row r="15" spans="1:8" ht="37.5" customHeight="1" x14ac:dyDescent="0.25">
      <c r="A15" s="6"/>
      <c r="B15" s="23" t="s">
        <v>29</v>
      </c>
      <c r="C15" s="24">
        <v>3</v>
      </c>
      <c r="D15" s="18" t="s">
        <v>30</v>
      </c>
      <c r="E15" s="19" t="s">
        <v>16</v>
      </c>
      <c r="F15" s="19"/>
      <c r="G15" s="20"/>
      <c r="H15" s="18"/>
    </row>
    <row r="16" spans="1:8" ht="37.5" customHeight="1" x14ac:dyDescent="0.25">
      <c r="A16" s="6"/>
      <c r="B16" s="23"/>
      <c r="C16" s="24">
        <v>4</v>
      </c>
      <c r="D16" s="18" t="s">
        <v>31</v>
      </c>
      <c r="E16" s="19" t="s">
        <v>16</v>
      </c>
      <c r="F16" s="19"/>
      <c r="G16" s="20"/>
      <c r="H16" s="18"/>
    </row>
    <row r="17" spans="1:8" ht="37.5" customHeight="1" x14ac:dyDescent="0.25">
      <c r="A17" s="6"/>
      <c r="B17" s="23"/>
      <c r="C17" s="24">
        <v>5</v>
      </c>
      <c r="D17" s="18" t="s">
        <v>32</v>
      </c>
      <c r="E17" s="19" t="s">
        <v>16</v>
      </c>
      <c r="F17" s="19"/>
      <c r="G17" s="20"/>
      <c r="H17" s="18"/>
    </row>
    <row r="18" spans="1:8" ht="37.5" customHeight="1" x14ac:dyDescent="0.25">
      <c r="A18" s="6"/>
      <c r="B18" s="23" t="s">
        <v>33</v>
      </c>
      <c r="C18" s="24">
        <v>6</v>
      </c>
      <c r="D18" s="18" t="s">
        <v>34</v>
      </c>
      <c r="E18" s="19" t="s">
        <v>16</v>
      </c>
      <c r="F18" s="19"/>
      <c r="G18" s="20"/>
      <c r="H18" s="18"/>
    </row>
    <row r="19" spans="1:8" ht="37.5" customHeight="1" x14ac:dyDescent="0.25">
      <c r="A19" s="6"/>
      <c r="B19" s="23"/>
      <c r="C19" s="24">
        <v>7</v>
      </c>
      <c r="D19" s="18" t="s">
        <v>35</v>
      </c>
      <c r="E19" s="19" t="s">
        <v>16</v>
      </c>
      <c r="F19" s="19"/>
      <c r="G19" s="20"/>
      <c r="H19" s="18"/>
    </row>
    <row r="20" spans="1:8" ht="37.5" customHeight="1" x14ac:dyDescent="0.25">
      <c r="A20" s="6"/>
      <c r="B20" s="23"/>
      <c r="C20" s="24">
        <v>8</v>
      </c>
      <c r="D20" s="18" t="s">
        <v>36</v>
      </c>
      <c r="E20" s="19" t="s">
        <v>16</v>
      </c>
      <c r="F20" s="19"/>
      <c r="G20" s="20"/>
      <c r="H20" s="18"/>
    </row>
    <row r="21" spans="1:8" ht="37.5" customHeight="1" x14ac:dyDescent="0.25">
      <c r="A21" s="6"/>
      <c r="B21" s="23"/>
      <c r="C21" s="24">
        <v>9</v>
      </c>
      <c r="D21" s="18" t="s">
        <v>37</v>
      </c>
      <c r="E21" s="19" t="s">
        <v>16</v>
      </c>
      <c r="F21" s="19"/>
      <c r="G21" s="20"/>
      <c r="H21" s="18"/>
    </row>
    <row r="22" spans="1:8" ht="37.5" customHeight="1" x14ac:dyDescent="0.25">
      <c r="A22" s="6"/>
      <c r="B22" s="23"/>
      <c r="C22" s="24">
        <v>10</v>
      </c>
      <c r="D22" s="18" t="s">
        <v>38</v>
      </c>
      <c r="E22" s="19" t="s">
        <v>16</v>
      </c>
      <c r="F22" s="19"/>
      <c r="G22" s="20"/>
      <c r="H22" s="18"/>
    </row>
    <row r="23" spans="1:8" ht="37.5" customHeight="1" x14ac:dyDescent="0.25">
      <c r="A23" s="6"/>
      <c r="B23" s="23"/>
      <c r="C23" s="24">
        <v>11</v>
      </c>
      <c r="D23" s="18" t="s">
        <v>39</v>
      </c>
      <c r="E23" s="19" t="s">
        <v>16</v>
      </c>
      <c r="F23" s="19"/>
      <c r="G23" s="20"/>
      <c r="H23" s="18"/>
    </row>
    <row r="24" spans="1:8" ht="37.5" customHeight="1" x14ac:dyDescent="0.25">
      <c r="A24" s="6"/>
      <c r="B24" s="23"/>
      <c r="C24" s="24">
        <v>12</v>
      </c>
      <c r="D24" s="18" t="s">
        <v>40</v>
      </c>
      <c r="E24" s="19" t="s">
        <v>16</v>
      </c>
      <c r="F24" s="19"/>
      <c r="G24" s="20"/>
      <c r="H24" s="18"/>
    </row>
    <row r="25" spans="1:8" ht="37.5" customHeight="1" x14ac:dyDescent="0.25">
      <c r="A25" s="6"/>
      <c r="B25" s="23"/>
      <c r="C25" s="24">
        <v>13</v>
      </c>
      <c r="D25" s="18" t="s">
        <v>41</v>
      </c>
      <c r="E25" s="19" t="s">
        <v>16</v>
      </c>
      <c r="F25" s="19"/>
      <c r="G25" s="20"/>
      <c r="H25" s="18"/>
    </row>
    <row r="26" spans="1:8" ht="37.5" customHeight="1" x14ac:dyDescent="0.25">
      <c r="A26" s="6"/>
      <c r="B26" s="23"/>
      <c r="C26" s="24">
        <v>14</v>
      </c>
      <c r="D26" s="18" t="s">
        <v>42</v>
      </c>
      <c r="E26" s="19" t="s">
        <v>16</v>
      </c>
      <c r="F26" s="19"/>
      <c r="G26" s="20"/>
      <c r="H26" s="18"/>
    </row>
    <row r="27" spans="1:8" ht="37.5" customHeight="1" x14ac:dyDescent="0.25">
      <c r="A27" s="6"/>
      <c r="B27" s="23"/>
      <c r="C27" s="24">
        <v>15</v>
      </c>
      <c r="D27" s="18" t="s">
        <v>43</v>
      </c>
      <c r="E27" s="19" t="s">
        <v>16</v>
      </c>
      <c r="F27" s="19"/>
      <c r="G27" s="20"/>
      <c r="H27" s="18"/>
    </row>
    <row r="28" spans="1:8" ht="37.5" customHeight="1" x14ac:dyDescent="0.25">
      <c r="A28" s="6"/>
      <c r="B28" s="23"/>
      <c r="C28" s="24">
        <v>16</v>
      </c>
      <c r="D28" s="18" t="s">
        <v>44</v>
      </c>
      <c r="E28" s="19" t="s">
        <v>16</v>
      </c>
      <c r="F28" s="19"/>
      <c r="G28" s="20"/>
      <c r="H28" s="18"/>
    </row>
    <row r="29" spans="1:8" ht="37.5" customHeight="1" x14ac:dyDescent="0.25">
      <c r="A29" s="6"/>
      <c r="B29" s="23"/>
      <c r="C29" s="24">
        <v>17</v>
      </c>
      <c r="D29" s="18" t="s">
        <v>45</v>
      </c>
      <c r="E29" s="19" t="s">
        <v>16</v>
      </c>
      <c r="F29" s="19"/>
      <c r="G29" s="20"/>
      <c r="H29" s="18"/>
    </row>
    <row r="30" spans="1:8" ht="37.5" customHeight="1" x14ac:dyDescent="0.25">
      <c r="A30" s="6"/>
      <c r="B30" s="23"/>
      <c r="C30" s="24">
        <v>18</v>
      </c>
      <c r="D30" s="18" t="s">
        <v>46</v>
      </c>
      <c r="E30" s="19" t="s">
        <v>16</v>
      </c>
      <c r="F30" s="19"/>
      <c r="G30" s="20"/>
      <c r="H30" s="18"/>
    </row>
    <row r="31" spans="1:8" ht="37.5" customHeight="1" x14ac:dyDescent="0.25">
      <c r="A31" s="6"/>
      <c r="B31" s="23"/>
      <c r="C31" s="24">
        <v>19</v>
      </c>
      <c r="D31" s="18" t="s">
        <v>47</v>
      </c>
      <c r="E31" s="19" t="s">
        <v>16</v>
      </c>
      <c r="F31" s="19"/>
      <c r="G31" s="20"/>
      <c r="H31" s="18"/>
    </row>
    <row r="32" spans="1:8" ht="37.5" customHeight="1" x14ac:dyDescent="0.25">
      <c r="A32" s="6"/>
      <c r="B32" s="23"/>
      <c r="C32" s="24">
        <v>20</v>
      </c>
      <c r="D32" s="18" t="s">
        <v>48</v>
      </c>
      <c r="E32" s="19" t="s">
        <v>16</v>
      </c>
      <c r="F32" s="19"/>
      <c r="G32" s="20"/>
      <c r="H32" s="18"/>
    </row>
    <row r="33" spans="1:8" ht="37.5" customHeight="1" x14ac:dyDescent="0.25">
      <c r="A33" s="6"/>
      <c r="B33" s="23"/>
      <c r="C33" s="24">
        <v>21</v>
      </c>
      <c r="D33" s="18" t="s">
        <v>49</v>
      </c>
      <c r="E33" s="19" t="s">
        <v>16</v>
      </c>
      <c r="F33" s="19"/>
      <c r="G33" s="20"/>
      <c r="H33" s="18"/>
    </row>
    <row r="34" spans="1:8" ht="37.5" customHeight="1" x14ac:dyDescent="0.25">
      <c r="A34" s="6"/>
      <c r="B34" s="23" t="s">
        <v>50</v>
      </c>
      <c r="C34" s="24">
        <v>22</v>
      </c>
      <c r="D34" s="18" t="s">
        <v>51</v>
      </c>
      <c r="E34" s="19" t="s">
        <v>16</v>
      </c>
      <c r="F34" s="19"/>
      <c r="G34" s="20"/>
      <c r="H34" s="18"/>
    </row>
    <row r="35" spans="1:8" ht="37.5" customHeight="1" x14ac:dyDescent="0.25">
      <c r="A35" s="6"/>
      <c r="B35" s="23"/>
      <c r="C35" s="24">
        <v>23</v>
      </c>
      <c r="D35" s="18" t="s">
        <v>35</v>
      </c>
      <c r="E35" s="19" t="s">
        <v>16</v>
      </c>
      <c r="F35" s="19"/>
      <c r="G35" s="20"/>
      <c r="H35" s="18"/>
    </row>
    <row r="36" spans="1:8" ht="37.5" customHeight="1" x14ac:dyDescent="0.25">
      <c r="A36" s="6"/>
      <c r="B36" s="23"/>
      <c r="C36" s="24">
        <v>24</v>
      </c>
      <c r="D36" s="18" t="s">
        <v>52</v>
      </c>
      <c r="E36" s="19" t="s">
        <v>16</v>
      </c>
      <c r="F36" s="19"/>
      <c r="G36" s="20"/>
      <c r="H36" s="18"/>
    </row>
    <row r="37" spans="1:8" ht="37.5" customHeight="1" x14ac:dyDescent="0.25">
      <c r="A37" s="6"/>
      <c r="B37" s="23"/>
      <c r="C37" s="24">
        <v>25</v>
      </c>
      <c r="D37" s="18" t="s">
        <v>53</v>
      </c>
      <c r="E37" s="19" t="s">
        <v>16</v>
      </c>
      <c r="F37" s="19"/>
      <c r="G37" s="20"/>
      <c r="H37" s="18"/>
    </row>
    <row r="38" spans="1:8" ht="37.5" customHeight="1" x14ac:dyDescent="0.25">
      <c r="A38" s="6"/>
      <c r="B38" s="23"/>
      <c r="C38" s="24">
        <v>26</v>
      </c>
      <c r="D38" s="18" t="s">
        <v>54</v>
      </c>
      <c r="E38" s="19" t="s">
        <v>16</v>
      </c>
      <c r="F38" s="19"/>
      <c r="G38" s="20"/>
      <c r="H38" s="18"/>
    </row>
    <row r="39" spans="1:8" ht="37.5" customHeight="1" x14ac:dyDescent="0.25">
      <c r="A39" s="6"/>
      <c r="B39" s="23"/>
      <c r="C39" s="24">
        <v>27</v>
      </c>
      <c r="D39" s="18" t="s">
        <v>55</v>
      </c>
      <c r="E39" s="19" t="s">
        <v>16</v>
      </c>
      <c r="F39" s="19"/>
      <c r="G39" s="20"/>
      <c r="H39" s="18"/>
    </row>
    <row r="40" spans="1:8" ht="37.5" customHeight="1" x14ac:dyDescent="0.25">
      <c r="A40" s="6"/>
      <c r="B40" s="23"/>
      <c r="C40" s="24">
        <v>28</v>
      </c>
      <c r="D40" s="18" t="s">
        <v>56</v>
      </c>
      <c r="E40" s="19" t="s">
        <v>16</v>
      </c>
      <c r="F40" s="19"/>
      <c r="G40" s="20"/>
      <c r="H40" s="18"/>
    </row>
    <row r="41" spans="1:8" ht="37.5" customHeight="1" x14ac:dyDescent="0.25">
      <c r="A41" s="6"/>
      <c r="B41" s="23"/>
      <c r="C41" s="24">
        <v>29</v>
      </c>
      <c r="D41" s="18" t="s">
        <v>57</v>
      </c>
      <c r="E41" s="19" t="s">
        <v>16</v>
      </c>
      <c r="F41" s="19"/>
      <c r="G41" s="20"/>
      <c r="H41" s="18"/>
    </row>
    <row r="42" spans="1:8" ht="37.5" customHeight="1" x14ac:dyDescent="0.25">
      <c r="A42" s="6"/>
      <c r="B42" s="23"/>
      <c r="C42" s="24">
        <v>30</v>
      </c>
      <c r="D42" s="18" t="s">
        <v>58</v>
      </c>
      <c r="E42" s="19" t="s">
        <v>16</v>
      </c>
      <c r="F42" s="19"/>
      <c r="G42" s="20"/>
      <c r="H42" s="18"/>
    </row>
    <row r="43" spans="1:8" ht="37.5" customHeight="1" x14ac:dyDescent="0.25">
      <c r="A43" s="6"/>
      <c r="B43" s="23"/>
      <c r="C43" s="24">
        <v>31</v>
      </c>
      <c r="D43" s="18" t="s">
        <v>59</v>
      </c>
      <c r="E43" s="19" t="s">
        <v>16</v>
      </c>
      <c r="F43" s="19"/>
      <c r="G43" s="20"/>
      <c r="H43" s="18"/>
    </row>
    <row r="44" spans="1:8" ht="37.5" customHeight="1" x14ac:dyDescent="0.25">
      <c r="A44" s="6"/>
      <c r="B44" s="23"/>
      <c r="C44" s="24">
        <v>32</v>
      </c>
      <c r="D44" s="18" t="s">
        <v>60</v>
      </c>
      <c r="E44" s="19" t="s">
        <v>16</v>
      </c>
      <c r="F44" s="19"/>
      <c r="G44" s="20"/>
      <c r="H44" s="18"/>
    </row>
    <row r="45" spans="1:8" ht="37.5" customHeight="1" x14ac:dyDescent="0.25">
      <c r="A45" s="6"/>
      <c r="B45" s="23"/>
      <c r="C45" s="24">
        <v>33</v>
      </c>
      <c r="D45" s="18" t="s">
        <v>61</v>
      </c>
      <c r="E45" s="19" t="s">
        <v>16</v>
      </c>
      <c r="F45" s="19"/>
      <c r="G45" s="20"/>
      <c r="H45" s="18"/>
    </row>
    <row r="46" spans="1:8" ht="37.5" customHeight="1" x14ac:dyDescent="0.25">
      <c r="A46" s="6"/>
      <c r="B46" s="23" t="s">
        <v>62</v>
      </c>
      <c r="C46" s="24">
        <v>34</v>
      </c>
      <c r="D46" s="18" t="s">
        <v>63</v>
      </c>
      <c r="E46" s="19" t="s">
        <v>16</v>
      </c>
      <c r="F46" s="19"/>
      <c r="G46" s="20"/>
      <c r="H46" s="18"/>
    </row>
    <row r="47" spans="1:8" ht="37.5" customHeight="1" x14ac:dyDescent="0.25">
      <c r="A47" s="6"/>
      <c r="B47" s="23"/>
      <c r="C47" s="24">
        <v>35</v>
      </c>
      <c r="D47" s="18" t="s">
        <v>64</v>
      </c>
      <c r="E47" s="19" t="s">
        <v>16</v>
      </c>
      <c r="F47" s="19"/>
      <c r="G47" s="20"/>
      <c r="H47" s="18"/>
    </row>
    <row r="48" spans="1:8" ht="37.5" customHeight="1" x14ac:dyDescent="0.25">
      <c r="A48" s="5" t="s">
        <v>65</v>
      </c>
      <c r="B48" s="25"/>
      <c r="C48" s="26">
        <v>1</v>
      </c>
      <c r="D48" s="18" t="s">
        <v>66</v>
      </c>
      <c r="E48" s="19" t="s">
        <v>16</v>
      </c>
      <c r="F48" s="19"/>
      <c r="G48" s="20"/>
      <c r="H48" s="18"/>
    </row>
    <row r="49" spans="1:8" ht="37.5" customHeight="1" x14ac:dyDescent="0.25">
      <c r="A49" s="5"/>
      <c r="B49" s="25"/>
      <c r="C49" s="26">
        <v>2</v>
      </c>
      <c r="D49" s="18" t="s">
        <v>67</v>
      </c>
      <c r="E49" s="19" t="s">
        <v>16</v>
      </c>
      <c r="F49" s="19"/>
      <c r="G49" s="20"/>
      <c r="H49" s="18"/>
    </row>
    <row r="50" spans="1:8" ht="37.5" customHeight="1" x14ac:dyDescent="0.25">
      <c r="A50" s="5"/>
      <c r="B50" s="25"/>
      <c r="C50" s="26">
        <v>3</v>
      </c>
      <c r="D50" s="18" t="s">
        <v>68</v>
      </c>
      <c r="E50" s="19" t="s">
        <v>16</v>
      </c>
      <c r="F50" s="19"/>
      <c r="G50" s="20"/>
      <c r="H50" s="18"/>
    </row>
    <row r="51" spans="1:8" ht="37.5" customHeight="1" x14ac:dyDescent="0.25">
      <c r="A51" s="5"/>
      <c r="B51" s="25"/>
      <c r="C51" s="26">
        <v>4</v>
      </c>
      <c r="D51" s="18" t="s">
        <v>69</v>
      </c>
      <c r="E51" s="19" t="s">
        <v>16</v>
      </c>
      <c r="F51" s="19"/>
      <c r="G51" s="20"/>
      <c r="H51" s="18"/>
    </row>
    <row r="52" spans="1:8" ht="37.5" customHeight="1" x14ac:dyDescent="0.25">
      <c r="A52" s="4" t="s">
        <v>70</v>
      </c>
      <c r="B52" s="27"/>
      <c r="C52" s="28">
        <v>1</v>
      </c>
      <c r="D52" s="18" t="s">
        <v>71</v>
      </c>
      <c r="E52" s="19" t="s">
        <v>16</v>
      </c>
      <c r="F52" s="19"/>
      <c r="G52" s="20"/>
      <c r="H52" s="18"/>
    </row>
    <row r="53" spans="1:8" ht="37.5" customHeight="1" x14ac:dyDescent="0.25">
      <c r="A53" s="4"/>
      <c r="B53" s="27"/>
      <c r="C53" s="28">
        <v>2</v>
      </c>
      <c r="D53" s="18" t="s">
        <v>72</v>
      </c>
      <c r="E53" s="19" t="s">
        <v>16</v>
      </c>
      <c r="F53" s="19"/>
      <c r="G53" s="20"/>
      <c r="H53" s="18"/>
    </row>
    <row r="54" spans="1:8" ht="37.5" customHeight="1" x14ac:dyDescent="0.25">
      <c r="A54" s="4"/>
      <c r="B54" s="27"/>
      <c r="C54" s="28">
        <v>3</v>
      </c>
      <c r="D54" s="18" t="s">
        <v>73</v>
      </c>
      <c r="E54" s="19" t="s">
        <v>16</v>
      </c>
      <c r="F54" s="19"/>
      <c r="G54" s="20"/>
      <c r="H54" s="18"/>
    </row>
    <row r="55" spans="1:8" ht="37.5" customHeight="1" x14ac:dyDescent="0.25">
      <c r="A55" s="3" t="s">
        <v>74</v>
      </c>
      <c r="B55" s="29"/>
      <c r="C55" s="30">
        <v>1</v>
      </c>
      <c r="D55" s="18" t="s">
        <v>75</v>
      </c>
      <c r="E55" s="19" t="s">
        <v>16</v>
      </c>
      <c r="F55" s="19"/>
      <c r="G55" s="20"/>
      <c r="H55" s="18"/>
    </row>
    <row r="56" spans="1:8" ht="37.5" customHeight="1" x14ac:dyDescent="0.25">
      <c r="A56" s="3"/>
      <c r="B56" s="29"/>
      <c r="C56" s="30">
        <v>2</v>
      </c>
      <c r="D56" s="18" t="s">
        <v>76</v>
      </c>
      <c r="E56" s="19" t="s">
        <v>16</v>
      </c>
      <c r="F56" s="19"/>
      <c r="G56" s="20"/>
      <c r="H56" s="18"/>
    </row>
    <row r="57" spans="1:8" ht="37.5" customHeight="1" x14ac:dyDescent="0.25">
      <c r="A57" s="3"/>
      <c r="B57" s="29"/>
      <c r="C57" s="30">
        <v>3</v>
      </c>
      <c r="D57" s="18" t="s">
        <v>77</v>
      </c>
      <c r="E57" s="19" t="s">
        <v>16</v>
      </c>
      <c r="F57" s="19"/>
      <c r="G57" s="20"/>
      <c r="H57" s="18"/>
    </row>
    <row r="58" spans="1:8" ht="19.5" customHeight="1" x14ac:dyDescent="0.25">
      <c r="A58" s="2" t="s">
        <v>78</v>
      </c>
      <c r="B58" s="2"/>
      <c r="C58" s="2"/>
      <c r="D58" s="31">
        <v>52</v>
      </c>
      <c r="E58" s="32"/>
      <c r="F58" s="32"/>
      <c r="G58" s="32"/>
      <c r="H58" s="32"/>
    </row>
  </sheetData>
  <mergeCells count="12">
    <mergeCell ref="A55:A57"/>
    <mergeCell ref="A58:C58"/>
    <mergeCell ref="A6:A9"/>
    <mergeCell ref="A10:A12"/>
    <mergeCell ref="A13:A47"/>
    <mergeCell ref="A48:A51"/>
    <mergeCell ref="A52:A54"/>
    <mergeCell ref="A1:H1"/>
    <mergeCell ref="A2:H2"/>
    <mergeCell ref="A3:H3"/>
    <mergeCell ref="D4:E4"/>
    <mergeCell ref="G4:H4"/>
  </mergeCells>
  <conditionalFormatting sqref="E6:E57">
    <cfRule type="cellIs" dxfId="2" priority="2" operator="equal">
      <formula>"Completado"</formula>
    </cfRule>
    <cfRule type="cellIs" dxfId="1" priority="3" operator="equal">
      <formula>"En progreso"</formula>
    </cfRule>
    <cfRule type="cellIs" dxfId="0" priority="4" operator="equal">
      <formula>"No aplica"</formula>
    </cfRule>
  </conditionalFormatting>
  <dataValidations count="1">
    <dataValidation type="list" showErrorMessage="1" errorTitle="Valor no válido" error="Seleccione una opción de la lista." sqref="E6:E57" xr:uid="{00000000-0002-0000-0000-000000000000}">
      <formula1>"Pendiente,En progreso,Completado,No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showGridLines="0" zoomScaleNormal="100" workbookViewId="0"/>
  </sheetViews>
  <sheetFormatPr baseColWidth="10" defaultColWidth="8.7109375" defaultRowHeight="15" x14ac:dyDescent="0.25"/>
  <cols>
    <col min="1" max="1" width="20" customWidth="1"/>
    <col min="2" max="7" width="14" customWidth="1"/>
  </cols>
  <sheetData>
    <row r="1" spans="1:7" ht="13.5" customHeight="1" x14ac:dyDescent="0.25">
      <c r="A1" s="12" t="s">
        <v>0</v>
      </c>
      <c r="B1" s="12"/>
      <c r="C1" s="12"/>
      <c r="D1" s="12"/>
      <c r="E1" s="12"/>
      <c r="F1" s="12"/>
      <c r="G1" s="12"/>
    </row>
    <row r="2" spans="1:7" ht="30" customHeight="1" x14ac:dyDescent="0.25">
      <c r="A2" s="11" t="s">
        <v>79</v>
      </c>
      <c r="B2" s="11"/>
      <c r="C2" s="11"/>
      <c r="D2" s="11"/>
      <c r="E2" s="11"/>
      <c r="F2" s="11"/>
      <c r="G2" s="11"/>
    </row>
    <row r="3" spans="1:7" ht="13.5" customHeight="1" x14ac:dyDescent="0.25">
      <c r="A3" s="10" t="s">
        <v>80</v>
      </c>
      <c r="B3" s="10"/>
      <c r="C3" s="10"/>
      <c r="D3" s="10"/>
      <c r="E3" s="10"/>
      <c r="F3" s="10"/>
      <c r="G3" s="10"/>
    </row>
    <row r="4" spans="1:7" ht="21.75" customHeight="1" x14ac:dyDescent="0.25">
      <c r="A4" s="15" t="s">
        <v>6</v>
      </c>
      <c r="B4" s="15" t="s">
        <v>81</v>
      </c>
      <c r="C4" s="15" t="s">
        <v>16</v>
      </c>
      <c r="D4" s="15" t="s">
        <v>82</v>
      </c>
      <c r="E4" s="15" t="s">
        <v>83</v>
      </c>
      <c r="F4" s="15" t="s">
        <v>84</v>
      </c>
      <c r="G4" s="15" t="s">
        <v>85</v>
      </c>
    </row>
    <row r="5" spans="1:7" ht="19.5" customHeight="1" x14ac:dyDescent="0.25">
      <c r="A5" s="33" t="s">
        <v>14</v>
      </c>
      <c r="B5" s="34">
        <v>4</v>
      </c>
      <c r="C5" s="35">
        <f>COUNTIF(Checklist!E6:E9,"Pendiente")</f>
        <v>4</v>
      </c>
      <c r="D5" s="35">
        <f>COUNTIF(Checklist!E6:E9,"En progreso")</f>
        <v>0</v>
      </c>
      <c r="E5" s="35">
        <f>COUNTIF(Checklist!E6:E9,"Completado")</f>
        <v>0</v>
      </c>
      <c r="F5" s="35">
        <f>COUNTIF(Checklist!E6:E9,"No aplica")</f>
        <v>0</v>
      </c>
      <c r="G5" s="36">
        <f t="shared" ref="G5:G10" si="0">IFERROR(E5/B5,0)</f>
        <v>0</v>
      </c>
    </row>
    <row r="6" spans="1:7" ht="19.5" customHeight="1" x14ac:dyDescent="0.25">
      <c r="A6" s="37" t="s">
        <v>20</v>
      </c>
      <c r="B6" s="34">
        <v>3</v>
      </c>
      <c r="C6" s="35">
        <f>COUNTIF(Checklist!E10:E12,"Pendiente")</f>
        <v>3</v>
      </c>
      <c r="D6" s="35">
        <f>COUNTIF(Checklist!E10:E12,"En progreso")</f>
        <v>0</v>
      </c>
      <c r="E6" s="35">
        <f>COUNTIF(Checklist!E10:E12,"Completado")</f>
        <v>0</v>
      </c>
      <c r="F6" s="35">
        <f>COUNTIF(Checklist!E10:E12,"No aplica")</f>
        <v>0</v>
      </c>
      <c r="G6" s="36">
        <f t="shared" si="0"/>
        <v>0</v>
      </c>
    </row>
    <row r="7" spans="1:7" ht="19.5" customHeight="1" x14ac:dyDescent="0.25">
      <c r="A7" s="38" t="s">
        <v>24</v>
      </c>
      <c r="B7" s="34">
        <v>35</v>
      </c>
      <c r="C7" s="35">
        <f>COUNTIF(Checklist!E13:E47,"Pendiente")</f>
        <v>35</v>
      </c>
      <c r="D7" s="35">
        <f>COUNTIF(Checklist!E13:E47,"En progreso")</f>
        <v>0</v>
      </c>
      <c r="E7" s="35">
        <f>COUNTIF(Checklist!E13:E47,"Completado")</f>
        <v>0</v>
      </c>
      <c r="F7" s="35">
        <f>COUNTIF(Checklist!E13:E47,"No aplica")</f>
        <v>0</v>
      </c>
      <c r="G7" s="36">
        <f t="shared" si="0"/>
        <v>0</v>
      </c>
    </row>
    <row r="8" spans="1:7" ht="19.5" customHeight="1" x14ac:dyDescent="0.25">
      <c r="A8" s="39" t="s">
        <v>65</v>
      </c>
      <c r="B8" s="34">
        <v>4</v>
      </c>
      <c r="C8" s="35">
        <f>COUNTIF(Checklist!E48:E51,"Pendiente")</f>
        <v>4</v>
      </c>
      <c r="D8" s="35">
        <f>COUNTIF(Checklist!E48:E51,"En progreso")</f>
        <v>0</v>
      </c>
      <c r="E8" s="35">
        <f>COUNTIF(Checklist!E48:E51,"Completado")</f>
        <v>0</v>
      </c>
      <c r="F8" s="35">
        <f>COUNTIF(Checklist!E48:E51,"No aplica")</f>
        <v>0</v>
      </c>
      <c r="G8" s="36">
        <f t="shared" si="0"/>
        <v>0</v>
      </c>
    </row>
    <row r="9" spans="1:7" ht="19.5" customHeight="1" x14ac:dyDescent="0.25">
      <c r="A9" s="40" t="s">
        <v>70</v>
      </c>
      <c r="B9" s="34">
        <v>3</v>
      </c>
      <c r="C9" s="35">
        <f>COUNTIF(Checklist!E52:E54,"Pendiente")</f>
        <v>3</v>
      </c>
      <c r="D9" s="35">
        <f>COUNTIF(Checklist!E52:E54,"En progreso")</f>
        <v>0</v>
      </c>
      <c r="E9" s="35">
        <f>COUNTIF(Checklist!E52:E54,"Completado")</f>
        <v>0</v>
      </c>
      <c r="F9" s="35">
        <f>COUNTIF(Checklist!E52:E54,"No aplica")</f>
        <v>0</v>
      </c>
      <c r="G9" s="36">
        <f t="shared" si="0"/>
        <v>0</v>
      </c>
    </row>
    <row r="10" spans="1:7" ht="19.5" customHeight="1" x14ac:dyDescent="0.25">
      <c r="A10" s="41" t="s">
        <v>74</v>
      </c>
      <c r="B10" s="34">
        <v>3</v>
      </c>
      <c r="C10" s="35">
        <f>COUNTIF(Checklist!E55:E57,"Pendiente")</f>
        <v>3</v>
      </c>
      <c r="D10" s="35">
        <f>COUNTIF(Checklist!E55:E57,"En progreso")</f>
        <v>0</v>
      </c>
      <c r="E10" s="35">
        <f>COUNTIF(Checklist!E55:E57,"Completado")</f>
        <v>0</v>
      </c>
      <c r="F10" s="35">
        <f>COUNTIF(Checklist!E55:E57,"No aplica")</f>
        <v>0</v>
      </c>
      <c r="G10" s="36">
        <f t="shared" si="0"/>
        <v>0</v>
      </c>
    </row>
    <row r="11" spans="1:7" ht="19.5" customHeight="1" x14ac:dyDescent="0.25">
      <c r="A11" s="42" t="s">
        <v>86</v>
      </c>
      <c r="B11" s="42">
        <v>52</v>
      </c>
      <c r="C11" s="42">
        <f>SUM(C5:C10)</f>
        <v>52</v>
      </c>
      <c r="D11" s="42">
        <f>SUM(D5:D10)</f>
        <v>0</v>
      </c>
      <c r="E11" s="42">
        <f>SUM(E5:E10)</f>
        <v>0</v>
      </c>
      <c r="F11" s="42">
        <f>SUM(F5:F10)</f>
        <v>0</v>
      </c>
      <c r="G11" s="43">
        <f>SUM(G5:G10)</f>
        <v>0</v>
      </c>
    </row>
    <row r="13" spans="1:7" x14ac:dyDescent="0.25">
      <c r="A13" s="1" t="s">
        <v>87</v>
      </c>
      <c r="B13" s="1"/>
      <c r="C13" s="1"/>
      <c r="D13" s="1"/>
      <c r="E13" s="1"/>
      <c r="F13" s="1"/>
      <c r="G13" s="1"/>
    </row>
  </sheetData>
  <mergeCells count="4">
    <mergeCell ref="A1:G1"/>
    <mergeCell ref="A2:G2"/>
    <mergeCell ref="A3:G3"/>
    <mergeCell ref="A13:G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Checklist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2026-06-18T22:31:45Z</dcterms:created>
  <dcterms:modified xsi:type="dcterms:W3CDTF">2026-06-18T22:33:09Z</dcterms:modified>
  <dc:language>en-US</dc:language>
</cp:coreProperties>
</file>