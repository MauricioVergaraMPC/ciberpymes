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80720533F71B9E031B34F09C149E051ACE51D398" xr6:coauthVersionLast="47" xr6:coauthVersionMax="47" xr10:uidLastSave="{02A1FF47-E2E9-4284-A109-ADC70B1A0AD0}"/>
  <bookViews>
    <workbookView xWindow="32805" yWindow="1305" windowWidth="22275" windowHeight="13665" tabRatio="500" xr2:uid="{00000000-000D-0000-FFFF-FFFF00000000}"/>
  </bookViews>
  <sheets>
    <sheet name="Registro RR" sheetId="1" r:id="rId1"/>
    <sheet name="Dashboard" sheetId="2" r:id="rId2"/>
    <sheet name="Instructiv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2" l="1"/>
  <c r="B11" i="2"/>
  <c r="B10" i="2"/>
  <c r="B9" i="2"/>
  <c r="B8" i="2"/>
  <c r="B7" i="2"/>
  <c r="B6" i="2"/>
  <c r="B5" i="2"/>
  <c r="B4" i="2"/>
</calcChain>
</file>

<file path=xl/sharedStrings.xml><?xml version="1.0" encoding="utf-8"?>
<sst xmlns="http://schemas.openxmlformats.org/spreadsheetml/2006/main" count="47" uniqueCount="46">
  <si>
    <t>CIBERPROTECCIÓN PARA PyMES  ·  Capítulo 2 — DNS</t>
  </si>
  <si>
    <t>Registro de Recursos DNS (RR) — Plantilla 2.X</t>
  </si>
  <si>
    <t>N°</t>
  </si>
  <si>
    <t>Tipo de registro</t>
  </si>
  <si>
    <t>Nombre / Host</t>
  </si>
  <si>
    <t>Valor</t>
  </si>
  <si>
    <t>TTL (segundos)</t>
  </si>
  <si>
    <t>Prioridad (solo MX)</t>
  </si>
  <si>
    <t>¿Registro por defecto
del proveedor?</t>
  </si>
  <si>
    <t>¿Vigente / en uso?</t>
  </si>
  <si>
    <t>Responsable</t>
  </si>
  <si>
    <t>Fecha de revisión</t>
  </si>
  <si>
    <t>Observaciones</t>
  </si>
  <si>
    <t>MX</t>
  </si>
  <si>
    <t>@</t>
  </si>
  <si>
    <t>mail.protection.outlook.com</t>
  </si>
  <si>
    <t>No</t>
  </si>
  <si>
    <t>Sí</t>
  </si>
  <si>
    <t>J. Pérez</t>
  </si>
  <si>
    <t>2026-07-15</t>
  </si>
  <si>
    <t>Servidor de correo principal — Microsoft 365</t>
  </si>
  <si>
    <t>Nota práctica — TTL: registre el TTL tal como aparece configurado, sin modificarlo en esta etapa de documentación. Como referencia, un TTL alto (p. ej. 86.400 segundos / 24 horas) reduce la carga sobre el servidor pero prolonga la propagación de cualquier corrección ante un incidente. Para nameservers y registros A de servicios principales, un TTL entre 300 y 3.600 segundos ofrece un balance razonable entre eficiencia y velocidad de recuperación.</t>
  </si>
  <si>
    <t>Dashboard — Registro de Recursos DNS</t>
  </si>
  <si>
    <t>Indicador</t>
  </si>
  <si>
    <t>Total de registros documentados</t>
  </si>
  <si>
    <t>Registros vigentes ("Sí")</t>
  </si>
  <si>
    <t>Registros pendientes de revisión ("Por revisar")</t>
  </si>
  <si>
    <t>Registros no vigentes / candidatos a eliminar ("No")</t>
  </si>
  <si>
    <t>Registros configurados por defecto del proveedor</t>
  </si>
  <si>
    <t>Registros MX documentados</t>
  </si>
  <si>
    <t>Registros TXT documentados</t>
  </si>
  <si>
    <t>Registros A / AAAA documentados</t>
  </si>
  <si>
    <t>Registros con TTL fuera del rango recomendado (&lt; 300 o &gt; 3.600 s)</t>
  </si>
  <si>
    <t>Instructivo — Plantilla de Registro de Recursos DNS (RR)</t>
  </si>
  <si>
    <t>Propósito</t>
  </si>
  <si>
    <t>Esta plantilla documenta el inventario de Registros de Recursos (RR) de un dominio, conforme a la actividad "Documentar Registros de Recursos (RR)" de la Función de Identificación del Capítulo 2 — DNS. El inventario resultante debe mantenerse en la CMDB definida en el Capítulo 1 y actualizarse cada vez que se realice un cambio en la configuración DNS.</t>
  </si>
  <si>
    <t>Cómo completar la hoja "Registro RR"</t>
  </si>
  <si>
    <t>Elimine la fila de ejemplo (fila 4) antes de iniciar la captura real, o consérvela como referencia de formato. Registre un renglón por cada registro DNS existente en la zona, incluyendo los tipos más relevantes para una PyME: A y AAAA (nombres a direcciones IP), MX (servidores de correo), CNAME (alias entre nombres), TXT (mecanismos de autenticación de correo como SPF, DKIM y DMARC), NS (servidores autoritativos) y SOA (información administrativa del dominio).</t>
  </si>
  <si>
    <t>Registros por defecto del proveedor</t>
  </si>
  <si>
    <t>Marque "Sí" en la columna correspondiente cuando el registro fue creado automáticamente por el proveedor al habilitar el servicio. Esta documentación permite auditar la zona completa y determinar cuáles de estos registros siguen siendo válidos y cuáles pueden eliminarse.</t>
  </si>
  <si>
    <t>Campo TTL</t>
  </si>
  <si>
    <t>Registre el TTL tal como está configurado actualmente, sin modificarlo durante esta etapa. Un TTL alto (por ejemplo 86.400 segundos) reduce la carga sobre el servidor pero prolonga el tiempo de propagación de cualquier corrección ante un incidente. Para nameservers y registros A de servicios principales, un TTL entre 300 y 3.600 segundos ofrece un balance razonable entre eficiencia y velocidad de recuperación.</t>
  </si>
  <si>
    <t>Hoja "Dashboard"</t>
  </si>
  <si>
    <t>Se actualiza automáticamente a partir de los datos capturados en "Registro RR" mediante fórmulas. No debe editarse manualmente. Incluye el total de registros documentados, su estado de vigencia, los registros configurados por defecto y una alerta de registros con TTL fuera del rango recomendado.</t>
  </si>
  <si>
    <t>Periodicidad</t>
  </si>
  <si>
    <t>Esta documentación no es una actividad de una sola vez: debe integrarse al Calendario NSOC definido en el Capítulo 1 y revisarse ante cada cambio en la configuración DNS, así como en la revisión trimestral indicada en la Tabla 2.15 (Actividades de mantenimiento periódico DNS).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</si>
</sst>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3"/>
      <color rgb="FFFFFFFF"/>
      <name val="Calibri"/>
      <charset val="1"/>
    </font>
    <font>
      <b/>
      <sz val="11"/>
      <color rgb="FFFFFFFF"/>
      <name val="Calibri"/>
      <charset val="1"/>
    </font>
    <font>
      <b/>
      <sz val="10"/>
      <color rgb="FFFFFFFF"/>
      <name val="Calibri"/>
      <charset val="1"/>
    </font>
    <font>
      <i/>
      <sz val="10"/>
      <color rgb="FF555555"/>
      <name val="Calibri"/>
      <charset val="1"/>
    </font>
    <font>
      <sz val="10"/>
      <color rgb="FF000000"/>
      <name val="Calibri"/>
      <charset val="1"/>
    </font>
    <font>
      <i/>
      <sz val="10"/>
      <color rgb="FF7A4A0D"/>
      <name val="Calibri"/>
      <charset val="1"/>
    </font>
    <font>
      <b/>
      <sz val="10"/>
      <color rgb="FF0F3F6E"/>
      <name val="Calibri"/>
      <charset val="1"/>
    </font>
    <font>
      <b/>
      <sz val="11"/>
      <color rgb="FF185FA5"/>
      <name val="Calibri"/>
      <charset val="1"/>
    </font>
    <font>
      <sz val="10"/>
      <color rgb="FF333333"/>
      <name val="Georgia"/>
      <charset val="1"/>
    </font>
    <font>
      <b/>
      <sz val="11"/>
      <color rgb="FF2E6DA4"/>
      <name val="Calibri"/>
      <charset val="1"/>
    </font>
    <font>
      <b/>
      <sz val="11"/>
      <color rgb="FFBA7517"/>
      <name val="Calibri"/>
      <charset val="1"/>
    </font>
  </fonts>
  <fills count="8">
    <fill>
      <patternFill patternType="none"/>
    </fill>
    <fill>
      <patternFill patternType="gray125"/>
    </fill>
    <fill>
      <patternFill patternType="solid">
        <fgColor rgb="FF0F3F6E"/>
        <bgColor rgb="FF333399"/>
      </patternFill>
    </fill>
    <fill>
      <patternFill patternType="solid">
        <fgColor rgb="FF185FA5"/>
        <bgColor rgb="FF2E6DA4"/>
      </patternFill>
    </fill>
    <fill>
      <patternFill patternType="solid">
        <fgColor rgb="FF2E6DA4"/>
        <bgColor rgb="FF185FA5"/>
      </patternFill>
    </fill>
    <fill>
      <patternFill patternType="solid">
        <fgColor rgb="FFF5F5F2"/>
        <bgColor rgb="FFFDF3E7"/>
      </patternFill>
    </fill>
    <fill>
      <patternFill patternType="solid">
        <fgColor rgb="FFFFFFFF"/>
        <bgColor rgb="FFF5F5F2"/>
      </patternFill>
    </fill>
    <fill>
      <patternFill patternType="solid">
        <fgColor rgb="FFFDF3E7"/>
        <bgColor rgb="FFF5F5F2"/>
      </patternFill>
    </fill>
  </fills>
  <borders count="3">
    <border>
      <left/>
      <right/>
      <top/>
      <bottom/>
      <diagonal/>
    </border>
    <border>
      <left style="thin">
        <color rgb="FFB9C6D3"/>
      </left>
      <right style="thin">
        <color rgb="FFB9C6D3"/>
      </right>
      <top style="thin">
        <color rgb="FFB9C6D3"/>
      </top>
      <bottom style="thin">
        <color rgb="FFB9C6D3"/>
      </bottom>
      <diagonal/>
    </border>
    <border>
      <left style="medium">
        <color rgb="FFBA7517"/>
      </left>
      <right style="medium">
        <color rgb="FFBA7517"/>
      </right>
      <top style="medium">
        <color rgb="FFBA7517"/>
      </top>
      <bottom style="medium">
        <color rgb="FFBA7517"/>
      </bottom>
      <diagonal/>
    </border>
  </borders>
  <cellStyleXfs count="1">
    <xf numFmtId="0" fontId="0" fillId="0" borderId="0"/>
  </cellStyleXfs>
  <cellXfs count="21">
    <xf numFmtId="0" fontId="0" fillId="0" borderId="0" xfId="0"/>
    <xf numFmtId="0" fontId="6" fillId="7" borderId="2" xfId="0" applyFont="1" applyFill="1" applyBorder="1" applyAlignment="1">
      <alignment horizontal="left" vertical="top" wrapText="1"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1"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5" fillId="5" borderId="1" xfId="0" applyFont="1" applyFill="1" applyBorder="1"/>
    <xf numFmtId="0" fontId="7" fillId="5" borderId="1" xfId="0" applyFont="1" applyFill="1" applyBorder="1" applyAlignment="1">
      <alignment horizontal="center"/>
    </xf>
    <xf numFmtId="0" fontId="5" fillId="6" borderId="1" xfId="0" applyFont="1" applyFill="1" applyBorder="1"/>
    <xf numFmtId="0" fontId="7" fillId="6" borderId="1" xfId="0" applyFont="1" applyFill="1" applyBorder="1" applyAlignment="1">
      <alignment horizontal="center"/>
    </xf>
    <xf numFmtId="0" fontId="8" fillId="0" borderId="0" xfId="0" applyFont="1"/>
    <xf numFmtId="0" fontId="9" fillId="0" borderId="0" xfId="0" applyFont="1" applyAlignment="1">
      <alignment horizontal="left" vertical="top" wrapText="1"/>
    </xf>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08080"/>
      <rgbColor rgb="FFB9C6D3"/>
      <rgbColor rgb="FF808080"/>
      <rgbColor rgb="FF9999FF"/>
      <rgbColor rgb="FF993366"/>
      <rgbColor rgb="FFFDF3E7"/>
      <rgbColor rgb="FFF5F5F2"/>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6DA4"/>
      <rgbColor rgb="FF33CCCC"/>
      <rgbColor rgb="FF99CC00"/>
      <rgbColor rgb="FFFFCC00"/>
      <rgbColor rgb="FFFF9900"/>
      <rgbColor rgb="FFFF6600"/>
      <rgbColor rgb="FF555555"/>
      <rgbColor rgb="FF969696"/>
      <rgbColor rgb="FF0F3F6E"/>
      <rgbColor rgb="FF339966"/>
      <rgbColor rgb="FF003300"/>
      <rgbColor rgb="FF333300"/>
      <rgbColor rgb="FF7A4A0D"/>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showGridLines="0" tabSelected="1" zoomScaleNormal="100" workbookViewId="0">
      <pane ySplit="4" topLeftCell="A5" activePane="bottomLeft" state="frozen"/>
      <selection pane="bottomLeft" activeCell="G5" sqref="G5"/>
    </sheetView>
  </sheetViews>
  <sheetFormatPr baseColWidth="10" defaultColWidth="8.7109375" defaultRowHeight="15" x14ac:dyDescent="0.25"/>
  <cols>
    <col min="1" max="1" width="5" customWidth="1"/>
    <col min="2" max="2" width="16" customWidth="1"/>
    <col min="3" max="3" width="22" customWidth="1"/>
    <col min="4" max="4" width="34" customWidth="1"/>
    <col min="5" max="5" width="14" customWidth="1"/>
    <col min="6" max="6" width="16" customWidth="1"/>
    <col min="7" max="7" width="18" customWidth="1"/>
    <col min="8" max="10" width="16" customWidth="1"/>
    <col min="11" max="11" width="34" customWidth="1"/>
  </cols>
  <sheetData>
    <row r="1" spans="1:11" ht="21.75" customHeight="1" x14ac:dyDescent="0.25">
      <c r="A1" s="3" t="s">
        <v>0</v>
      </c>
      <c r="B1" s="3"/>
      <c r="C1" s="3"/>
      <c r="D1" s="3"/>
      <c r="E1" s="3"/>
      <c r="F1" s="3"/>
      <c r="G1" s="3"/>
      <c r="H1" s="3"/>
      <c r="I1" s="3"/>
      <c r="J1" s="3"/>
      <c r="K1" s="3"/>
    </row>
    <row r="2" spans="1:11" ht="18" customHeight="1" x14ac:dyDescent="0.25">
      <c r="A2" s="2" t="s">
        <v>1</v>
      </c>
      <c r="B2" s="2"/>
      <c r="C2" s="2"/>
      <c r="D2" s="2"/>
      <c r="E2" s="2"/>
      <c r="F2" s="2"/>
      <c r="G2" s="2"/>
      <c r="H2" s="2"/>
      <c r="I2" s="2"/>
      <c r="J2" s="2"/>
      <c r="K2" s="2"/>
    </row>
    <row r="3" spans="1:11" ht="30" customHeight="1" x14ac:dyDescent="0.25">
      <c r="A3" s="5" t="s">
        <v>2</v>
      </c>
      <c r="B3" s="5" t="s">
        <v>3</v>
      </c>
      <c r="C3" s="5" t="s">
        <v>4</v>
      </c>
      <c r="D3" s="5" t="s">
        <v>5</v>
      </c>
      <c r="E3" s="5" t="s">
        <v>6</v>
      </c>
      <c r="F3" s="5" t="s">
        <v>7</v>
      </c>
      <c r="G3" s="5" t="s">
        <v>8</v>
      </c>
      <c r="H3" s="5" t="s">
        <v>9</v>
      </c>
      <c r="I3" s="5" t="s">
        <v>10</v>
      </c>
      <c r="J3" s="5" t="s">
        <v>11</v>
      </c>
      <c r="K3" s="5" t="s">
        <v>12</v>
      </c>
    </row>
    <row r="4" spans="1:11" ht="25.5" x14ac:dyDescent="0.25">
      <c r="A4" s="6">
        <v>1</v>
      </c>
      <c r="B4" s="7" t="s">
        <v>13</v>
      </c>
      <c r="C4" s="7" t="s">
        <v>14</v>
      </c>
      <c r="D4" s="7" t="s">
        <v>15</v>
      </c>
      <c r="E4" s="6">
        <v>3600</v>
      </c>
      <c r="F4" s="6">
        <v>10</v>
      </c>
      <c r="G4" s="6" t="s">
        <v>16</v>
      </c>
      <c r="H4" s="6" t="s">
        <v>17</v>
      </c>
      <c r="I4" s="6" t="s">
        <v>18</v>
      </c>
      <c r="J4" s="6" t="s">
        <v>19</v>
      </c>
      <c r="K4" s="7" t="s">
        <v>20</v>
      </c>
    </row>
    <row r="5" spans="1:11" x14ac:dyDescent="0.25">
      <c r="A5" s="8">
        <v>2</v>
      </c>
      <c r="B5" s="9"/>
      <c r="C5" s="9"/>
      <c r="D5" s="9"/>
      <c r="E5" s="8"/>
      <c r="F5" s="8"/>
      <c r="G5" s="8"/>
      <c r="H5" s="8"/>
      <c r="I5" s="8"/>
      <c r="J5" s="8"/>
      <c r="K5" s="9"/>
    </row>
    <row r="6" spans="1:11" x14ac:dyDescent="0.25">
      <c r="A6" s="10">
        <v>3</v>
      </c>
      <c r="B6" s="11"/>
      <c r="C6" s="11"/>
      <c r="D6" s="11"/>
      <c r="E6" s="10"/>
      <c r="F6" s="10"/>
      <c r="G6" s="10"/>
      <c r="H6" s="10"/>
      <c r="I6" s="10"/>
      <c r="J6" s="10"/>
      <c r="K6" s="11"/>
    </row>
    <row r="7" spans="1:11" x14ac:dyDescent="0.25">
      <c r="A7" s="8">
        <v>4</v>
      </c>
      <c r="B7" s="9"/>
      <c r="C7" s="9"/>
      <c r="D7" s="9"/>
      <c r="E7" s="8"/>
      <c r="F7" s="8"/>
      <c r="G7" s="8"/>
      <c r="H7" s="8"/>
      <c r="I7" s="8"/>
      <c r="J7" s="8"/>
      <c r="K7" s="9"/>
    </row>
    <row r="8" spans="1:11" x14ac:dyDescent="0.25">
      <c r="A8" s="10">
        <v>5</v>
      </c>
      <c r="B8" s="11"/>
      <c r="C8" s="11"/>
      <c r="D8" s="11"/>
      <c r="E8" s="10"/>
      <c r="F8" s="10"/>
      <c r="G8" s="10"/>
      <c r="H8" s="10"/>
      <c r="I8" s="10"/>
      <c r="J8" s="10"/>
      <c r="K8" s="11"/>
    </row>
    <row r="9" spans="1:11" x14ac:dyDescent="0.25">
      <c r="A9" s="8">
        <v>6</v>
      </c>
      <c r="B9" s="9"/>
      <c r="C9" s="9"/>
      <c r="D9" s="9"/>
      <c r="E9" s="8"/>
      <c r="F9" s="8"/>
      <c r="G9" s="8"/>
      <c r="H9" s="8"/>
      <c r="I9" s="8"/>
      <c r="J9" s="8"/>
      <c r="K9" s="9"/>
    </row>
    <row r="10" spans="1:11" x14ac:dyDescent="0.25">
      <c r="A10" s="10">
        <v>7</v>
      </c>
      <c r="B10" s="11"/>
      <c r="C10" s="11"/>
      <c r="D10" s="11"/>
      <c r="E10" s="10"/>
      <c r="F10" s="10"/>
      <c r="G10" s="10"/>
      <c r="H10" s="10"/>
      <c r="I10" s="10"/>
      <c r="J10" s="10"/>
      <c r="K10" s="11"/>
    </row>
    <row r="11" spans="1:11" x14ac:dyDescent="0.25">
      <c r="A11" s="8">
        <v>8</v>
      </c>
      <c r="B11" s="9"/>
      <c r="C11" s="9"/>
      <c r="D11" s="9"/>
      <c r="E11" s="8"/>
      <c r="F11" s="8"/>
      <c r="G11" s="8"/>
      <c r="H11" s="8"/>
      <c r="I11" s="8"/>
      <c r="J11" s="8"/>
      <c r="K11" s="9"/>
    </row>
    <row r="12" spans="1:11" x14ac:dyDescent="0.25">
      <c r="A12" s="10">
        <v>9</v>
      </c>
      <c r="B12" s="11"/>
      <c r="C12" s="11"/>
      <c r="D12" s="11"/>
      <c r="E12" s="10"/>
      <c r="F12" s="10"/>
      <c r="G12" s="10"/>
      <c r="H12" s="10"/>
      <c r="I12" s="10"/>
      <c r="J12" s="10"/>
      <c r="K12" s="11"/>
    </row>
    <row r="13" spans="1:11" x14ac:dyDescent="0.25">
      <c r="A13" s="8">
        <v>10</v>
      </c>
      <c r="B13" s="9"/>
      <c r="C13" s="9"/>
      <c r="D13" s="9"/>
      <c r="E13" s="8"/>
      <c r="F13" s="8"/>
      <c r="G13" s="8"/>
      <c r="H13" s="8"/>
      <c r="I13" s="8"/>
      <c r="J13" s="8"/>
      <c r="K13" s="9"/>
    </row>
    <row r="14" spans="1:11" x14ac:dyDescent="0.25">
      <c r="A14" s="10">
        <v>11</v>
      </c>
      <c r="B14" s="11"/>
      <c r="C14" s="11"/>
      <c r="D14" s="11"/>
      <c r="E14" s="10"/>
      <c r="F14" s="10"/>
      <c r="G14" s="10"/>
      <c r="H14" s="10"/>
      <c r="I14" s="10"/>
      <c r="J14" s="10"/>
      <c r="K14" s="11"/>
    </row>
    <row r="15" spans="1:11" x14ac:dyDescent="0.25">
      <c r="A15" s="8">
        <v>12</v>
      </c>
      <c r="B15" s="9"/>
      <c r="C15" s="9"/>
      <c r="D15" s="9"/>
      <c r="E15" s="8"/>
      <c r="F15" s="8"/>
      <c r="G15" s="8"/>
      <c r="H15" s="8"/>
      <c r="I15" s="8"/>
      <c r="J15" s="8"/>
      <c r="K15" s="9"/>
    </row>
    <row r="16" spans="1:11" x14ac:dyDescent="0.25">
      <c r="A16" s="10">
        <v>13</v>
      </c>
      <c r="B16" s="11"/>
      <c r="C16" s="11"/>
      <c r="D16" s="11"/>
      <c r="E16" s="10"/>
      <c r="F16" s="10"/>
      <c r="G16" s="10"/>
      <c r="H16" s="10"/>
      <c r="I16" s="10"/>
      <c r="J16" s="10"/>
      <c r="K16" s="11"/>
    </row>
    <row r="17" spans="1:11" x14ac:dyDescent="0.25">
      <c r="A17" s="8">
        <v>14</v>
      </c>
      <c r="B17" s="9"/>
      <c r="C17" s="9"/>
      <c r="D17" s="9"/>
      <c r="E17" s="8"/>
      <c r="F17" s="8"/>
      <c r="G17" s="8"/>
      <c r="H17" s="8"/>
      <c r="I17" s="8"/>
      <c r="J17" s="8"/>
      <c r="K17" s="9"/>
    </row>
    <row r="18" spans="1:11" x14ac:dyDescent="0.25">
      <c r="A18" s="10">
        <v>15</v>
      </c>
      <c r="B18" s="11"/>
      <c r="C18" s="11"/>
      <c r="D18" s="11"/>
      <c r="E18" s="10"/>
      <c r="F18" s="10"/>
      <c r="G18" s="10"/>
      <c r="H18" s="10"/>
      <c r="I18" s="10"/>
      <c r="J18" s="10"/>
      <c r="K18" s="11"/>
    </row>
    <row r="19" spans="1:11" x14ac:dyDescent="0.25">
      <c r="A19" s="8">
        <v>16</v>
      </c>
      <c r="B19" s="9"/>
      <c r="C19" s="9"/>
      <c r="D19" s="9"/>
      <c r="E19" s="8"/>
      <c r="F19" s="8"/>
      <c r="G19" s="8"/>
      <c r="H19" s="8"/>
      <c r="I19" s="8"/>
      <c r="J19" s="8"/>
      <c r="K19" s="9"/>
    </row>
    <row r="20" spans="1:11" x14ac:dyDescent="0.25">
      <c r="A20" s="10">
        <v>17</v>
      </c>
      <c r="B20" s="11"/>
      <c r="C20" s="11"/>
      <c r="D20" s="11"/>
      <c r="E20" s="10"/>
      <c r="F20" s="10"/>
      <c r="G20" s="10"/>
      <c r="H20" s="10"/>
      <c r="I20" s="10"/>
      <c r="J20" s="10"/>
      <c r="K20" s="11"/>
    </row>
    <row r="21" spans="1:11" x14ac:dyDescent="0.25">
      <c r="A21" s="8">
        <v>18</v>
      </c>
      <c r="B21" s="9"/>
      <c r="C21" s="9"/>
      <c r="D21" s="9"/>
      <c r="E21" s="8"/>
      <c r="F21" s="8"/>
      <c r="G21" s="8"/>
      <c r="H21" s="8"/>
      <c r="I21" s="8"/>
      <c r="J21" s="8"/>
      <c r="K21" s="9"/>
    </row>
    <row r="22" spans="1:11" x14ac:dyDescent="0.25">
      <c r="A22" s="10">
        <v>19</v>
      </c>
      <c r="B22" s="11"/>
      <c r="C22" s="11"/>
      <c r="D22" s="11"/>
      <c r="E22" s="10"/>
      <c r="F22" s="10"/>
      <c r="G22" s="10"/>
      <c r="H22" s="10"/>
      <c r="I22" s="10"/>
      <c r="J22" s="10"/>
      <c r="K22" s="11"/>
    </row>
    <row r="23" spans="1:11" x14ac:dyDescent="0.25">
      <c r="A23" s="8">
        <v>20</v>
      </c>
      <c r="B23" s="9"/>
      <c r="C23" s="9"/>
      <c r="D23" s="9"/>
      <c r="E23" s="8"/>
      <c r="F23" s="8"/>
      <c r="G23" s="8"/>
      <c r="H23" s="8"/>
      <c r="I23" s="8"/>
      <c r="J23" s="8"/>
      <c r="K23" s="9"/>
    </row>
    <row r="24" spans="1:11" x14ac:dyDescent="0.25">
      <c r="A24" s="10">
        <v>21</v>
      </c>
      <c r="B24" s="11"/>
      <c r="C24" s="11"/>
      <c r="D24" s="11"/>
      <c r="E24" s="10"/>
      <c r="F24" s="10"/>
      <c r="G24" s="10"/>
      <c r="H24" s="10"/>
      <c r="I24" s="10"/>
      <c r="J24" s="10"/>
      <c r="K24" s="11"/>
    </row>
    <row r="25" spans="1:11" x14ac:dyDescent="0.25">
      <c r="A25" s="8">
        <v>22</v>
      </c>
      <c r="B25" s="9"/>
      <c r="C25" s="9"/>
      <c r="D25" s="9"/>
      <c r="E25" s="8"/>
      <c r="F25" s="8"/>
      <c r="G25" s="8"/>
      <c r="H25" s="8"/>
      <c r="I25" s="8"/>
      <c r="J25" s="8"/>
      <c r="K25" s="9"/>
    </row>
    <row r="26" spans="1:11" x14ac:dyDescent="0.25">
      <c r="A26" s="10">
        <v>23</v>
      </c>
      <c r="B26" s="11"/>
      <c r="C26" s="11"/>
      <c r="D26" s="11"/>
      <c r="E26" s="10"/>
      <c r="F26" s="10"/>
      <c r="G26" s="10"/>
      <c r="H26" s="10"/>
      <c r="I26" s="10"/>
      <c r="J26" s="10"/>
      <c r="K26" s="11"/>
    </row>
    <row r="27" spans="1:11" x14ac:dyDescent="0.25">
      <c r="A27" s="8">
        <v>24</v>
      </c>
      <c r="B27" s="9"/>
      <c r="C27" s="9"/>
      <c r="D27" s="9"/>
      <c r="E27" s="8"/>
      <c r="F27" s="8"/>
      <c r="G27" s="8"/>
      <c r="H27" s="8"/>
      <c r="I27" s="8"/>
      <c r="J27" s="8"/>
      <c r="K27" s="9"/>
    </row>
    <row r="28" spans="1:11" x14ac:dyDescent="0.25">
      <c r="A28" s="10">
        <v>25</v>
      </c>
      <c r="B28" s="11"/>
      <c r="C28" s="11"/>
      <c r="D28" s="11"/>
      <c r="E28" s="10"/>
      <c r="F28" s="10"/>
      <c r="G28" s="10"/>
      <c r="H28" s="10"/>
      <c r="I28" s="10"/>
      <c r="J28" s="10"/>
      <c r="K28" s="11"/>
    </row>
    <row r="29" spans="1:11" x14ac:dyDescent="0.25">
      <c r="A29" s="8">
        <v>26</v>
      </c>
      <c r="B29" s="9"/>
      <c r="C29" s="9"/>
      <c r="D29" s="9"/>
      <c r="E29" s="8"/>
      <c r="F29" s="8"/>
      <c r="G29" s="8"/>
      <c r="H29" s="8"/>
      <c r="I29" s="8"/>
      <c r="J29" s="8"/>
      <c r="K29" s="9"/>
    </row>
    <row r="30" spans="1:11" x14ac:dyDescent="0.25">
      <c r="A30" s="10">
        <v>27</v>
      </c>
      <c r="B30" s="11"/>
      <c r="C30" s="11"/>
      <c r="D30" s="11"/>
      <c r="E30" s="10"/>
      <c r="F30" s="10"/>
      <c r="G30" s="10"/>
      <c r="H30" s="10"/>
      <c r="I30" s="10"/>
      <c r="J30" s="10"/>
      <c r="K30" s="11"/>
    </row>
    <row r="31" spans="1:11" x14ac:dyDescent="0.25">
      <c r="A31" s="8">
        <v>28</v>
      </c>
      <c r="B31" s="9"/>
      <c r="C31" s="9"/>
      <c r="D31" s="9"/>
      <c r="E31" s="8"/>
      <c r="F31" s="8"/>
      <c r="G31" s="8"/>
      <c r="H31" s="8"/>
      <c r="I31" s="8"/>
      <c r="J31" s="8"/>
      <c r="K31" s="9"/>
    </row>
    <row r="32" spans="1:11" x14ac:dyDescent="0.25">
      <c r="A32" s="10">
        <v>29</v>
      </c>
      <c r="B32" s="11"/>
      <c r="C32" s="11"/>
      <c r="D32" s="11"/>
      <c r="E32" s="10"/>
      <c r="F32" s="10"/>
      <c r="G32" s="10"/>
      <c r="H32" s="10"/>
      <c r="I32" s="10"/>
      <c r="J32" s="10"/>
      <c r="K32" s="11"/>
    </row>
    <row r="33" spans="1:11" x14ac:dyDescent="0.25">
      <c r="A33" s="8">
        <v>30</v>
      </c>
      <c r="B33" s="9"/>
      <c r="C33" s="9"/>
      <c r="D33" s="9"/>
      <c r="E33" s="8"/>
      <c r="F33" s="8"/>
      <c r="G33" s="8"/>
      <c r="H33" s="8"/>
      <c r="I33" s="8"/>
      <c r="J33" s="8"/>
      <c r="K33" s="9"/>
    </row>
    <row r="34" spans="1:11" x14ac:dyDescent="0.25">
      <c r="A34" s="10">
        <v>31</v>
      </c>
      <c r="B34" s="11"/>
      <c r="C34" s="11"/>
      <c r="D34" s="11"/>
      <c r="E34" s="10"/>
      <c r="F34" s="10"/>
      <c r="G34" s="10"/>
      <c r="H34" s="10"/>
      <c r="I34" s="10"/>
      <c r="J34" s="10"/>
      <c r="K34" s="11"/>
    </row>
    <row r="36" spans="1:11" ht="15.75" customHeight="1" x14ac:dyDescent="0.25">
      <c r="A36" s="1" t="s">
        <v>21</v>
      </c>
      <c r="B36" s="1"/>
      <c r="C36" s="1"/>
      <c r="D36" s="1"/>
      <c r="E36" s="1"/>
      <c r="F36" s="1"/>
      <c r="G36" s="1"/>
      <c r="H36" s="1"/>
      <c r="I36" s="1"/>
      <c r="J36" s="1"/>
      <c r="K36" s="1"/>
    </row>
    <row r="37" spans="1:11" ht="15.75" customHeight="1" x14ac:dyDescent="0.25">
      <c r="A37" s="1"/>
      <c r="B37" s="1"/>
      <c r="C37" s="1"/>
      <c r="D37" s="1"/>
      <c r="E37" s="1"/>
      <c r="F37" s="1"/>
      <c r="G37" s="1"/>
      <c r="H37" s="1"/>
      <c r="I37" s="1"/>
      <c r="J37" s="1"/>
      <c r="K37" s="1"/>
    </row>
    <row r="38" spans="1:11" ht="15.75" customHeight="1" x14ac:dyDescent="0.25">
      <c r="A38" s="1"/>
      <c r="B38" s="1"/>
      <c r="C38" s="1"/>
      <c r="D38" s="1"/>
      <c r="E38" s="1"/>
      <c r="F38" s="1"/>
      <c r="G38" s="1"/>
      <c r="H38" s="1"/>
      <c r="I38" s="1"/>
      <c r="J38" s="1"/>
      <c r="K38" s="1"/>
    </row>
    <row r="39" spans="1:11" ht="15.75" customHeight="1" x14ac:dyDescent="0.25">
      <c r="A39" s="1"/>
      <c r="B39" s="1"/>
      <c r="C39" s="1"/>
      <c r="D39" s="1"/>
      <c r="E39" s="1"/>
      <c r="F39" s="1"/>
      <c r="G39" s="1"/>
      <c r="H39" s="1"/>
      <c r="I39" s="1"/>
      <c r="J39" s="1"/>
      <c r="K39" s="1"/>
    </row>
  </sheetData>
  <mergeCells count="3">
    <mergeCell ref="A1:K1"/>
    <mergeCell ref="A2:K2"/>
    <mergeCell ref="A36:K39"/>
  </mergeCells>
  <dataValidations count="3">
    <dataValidation type="list" allowBlank="1" sqref="B5:B34" xr:uid="{00000000-0002-0000-0000-000000000000}">
      <formula1>"A,AAAA,MX,CNAME,TXT,NS,SOA,CAA,SRV,Otro"</formula1>
      <formula2>0</formula2>
    </dataValidation>
    <dataValidation type="list" allowBlank="1" sqref="G5:G34" xr:uid="{00000000-0002-0000-0000-000001000000}">
      <formula1>"Sí,No,Por confirmar"</formula1>
      <formula2>0</formula2>
    </dataValidation>
    <dataValidation type="list" allowBlank="1" sqref="H5:H34" xr:uid="{00000000-0002-0000-0000-000002000000}">
      <formula1>"Sí,No,Por revisar"</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showGridLines="0" zoomScaleNormal="100" workbookViewId="0"/>
  </sheetViews>
  <sheetFormatPr baseColWidth="10" defaultColWidth="8.7109375" defaultRowHeight="15" x14ac:dyDescent="0.25"/>
  <cols>
    <col min="1" max="1" width="52" customWidth="1"/>
    <col min="2" max="2" width="14" customWidth="1"/>
  </cols>
  <sheetData>
    <row r="1" spans="1:4" ht="21.75" customHeight="1" x14ac:dyDescent="0.25">
      <c r="A1" s="3" t="s">
        <v>22</v>
      </c>
      <c r="B1" s="3"/>
      <c r="C1" s="3"/>
      <c r="D1" s="3"/>
    </row>
    <row r="3" spans="1:4" x14ac:dyDescent="0.25">
      <c r="A3" s="12" t="s">
        <v>23</v>
      </c>
      <c r="B3" s="12" t="s">
        <v>5</v>
      </c>
    </row>
    <row r="4" spans="1:4" ht="25.5" customHeight="1" x14ac:dyDescent="0.25">
      <c r="A4" s="13" t="s">
        <v>24</v>
      </c>
      <c r="B4" s="14">
        <f>COUNTA('Registro RR'!B5:B34)</f>
        <v>0</v>
      </c>
    </row>
    <row r="5" spans="1:4" ht="25.5" customHeight="1" x14ac:dyDescent="0.25">
      <c r="A5" s="15" t="s">
        <v>25</v>
      </c>
      <c r="B5" s="16">
        <f>COUNTIF('Registro RR'!H5:H34,"Sí")</f>
        <v>0</v>
      </c>
    </row>
    <row r="6" spans="1:4" ht="25.5" customHeight="1" x14ac:dyDescent="0.25">
      <c r="A6" s="13" t="s">
        <v>26</v>
      </c>
      <c r="B6" s="14">
        <f>COUNTIF('Registro RR'!H5:H34,"Por revisar")</f>
        <v>0</v>
      </c>
    </row>
    <row r="7" spans="1:4" ht="25.5" customHeight="1" x14ac:dyDescent="0.25">
      <c r="A7" s="15" t="s">
        <v>27</v>
      </c>
      <c r="B7" s="16">
        <f>COUNTIF('Registro RR'!H5:H34,"No")</f>
        <v>0</v>
      </c>
    </row>
    <row r="8" spans="1:4" ht="25.5" customHeight="1" x14ac:dyDescent="0.25">
      <c r="A8" s="13" t="s">
        <v>28</v>
      </c>
      <c r="B8" s="14">
        <f>COUNTIF('Registro RR'!G5:G34,"Sí")</f>
        <v>0</v>
      </c>
    </row>
    <row r="9" spans="1:4" ht="25.5" customHeight="1" x14ac:dyDescent="0.25">
      <c r="A9" s="15" t="s">
        <v>29</v>
      </c>
      <c r="B9" s="16">
        <f>COUNTIF('Registro RR'!B5:B34,"MX")</f>
        <v>0</v>
      </c>
    </row>
    <row r="10" spans="1:4" ht="25.5" customHeight="1" x14ac:dyDescent="0.25">
      <c r="A10" s="13" t="s">
        <v>30</v>
      </c>
      <c r="B10" s="14">
        <f>COUNTIF('Registro RR'!B5:B34,"TXT")</f>
        <v>0</v>
      </c>
    </row>
    <row r="11" spans="1:4" ht="25.5" customHeight="1" x14ac:dyDescent="0.25">
      <c r="A11" s="15" t="s">
        <v>31</v>
      </c>
      <c r="B11" s="16">
        <f>COUNTIF('Registro RR'!B5:B34,"A")+COUNTIF('Registro RR'!B5:B34,"AAAA")</f>
        <v>0</v>
      </c>
    </row>
    <row r="12" spans="1:4" ht="25.5" customHeight="1" x14ac:dyDescent="0.25">
      <c r="A12" s="13" t="s">
        <v>32</v>
      </c>
      <c r="B12" s="14">
        <f>COUNTIFS('Registro RR'!E5:E34,"&lt;300")+COUNTIFS('Registro RR'!E5:E34,"&gt;3600")</f>
        <v>0</v>
      </c>
    </row>
  </sheetData>
  <mergeCells count="1">
    <mergeCell ref="A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
  <sheetViews>
    <sheetView showGridLines="0" zoomScaleNormal="100" workbookViewId="0"/>
  </sheetViews>
  <sheetFormatPr baseColWidth="10" defaultColWidth="8.7109375" defaultRowHeight="15" x14ac:dyDescent="0.25"/>
  <cols>
    <col min="1" max="1" width="100" customWidth="1"/>
  </cols>
  <sheetData>
    <row r="1" spans="1:1" ht="21.75" customHeight="1" x14ac:dyDescent="0.25">
      <c r="A1" s="4" t="s">
        <v>33</v>
      </c>
    </row>
    <row r="3" spans="1:1" ht="18" customHeight="1" x14ac:dyDescent="0.25">
      <c r="A3" s="17" t="s">
        <v>34</v>
      </c>
    </row>
    <row r="4" spans="1:1" ht="69.75" customHeight="1" x14ac:dyDescent="0.25">
      <c r="A4" s="18" t="s">
        <v>35</v>
      </c>
    </row>
    <row r="6" spans="1:1" ht="18" customHeight="1" x14ac:dyDescent="0.25">
      <c r="A6" s="17" t="s">
        <v>36</v>
      </c>
    </row>
    <row r="7" spans="1:1" ht="69.75" customHeight="1" x14ac:dyDescent="0.25">
      <c r="A7" s="18" t="s">
        <v>37</v>
      </c>
    </row>
    <row r="9" spans="1:1" ht="18" customHeight="1" x14ac:dyDescent="0.25">
      <c r="A9" s="19" t="s">
        <v>38</v>
      </c>
    </row>
    <row r="10" spans="1:1" ht="69.75" customHeight="1" x14ac:dyDescent="0.25">
      <c r="A10" s="18" t="s">
        <v>39</v>
      </c>
    </row>
    <row r="12" spans="1:1" ht="18" customHeight="1" x14ac:dyDescent="0.25">
      <c r="A12" s="20" t="s">
        <v>40</v>
      </c>
    </row>
    <row r="13" spans="1:1" ht="69.75" customHeight="1" x14ac:dyDescent="0.25">
      <c r="A13" s="18" t="s">
        <v>41</v>
      </c>
    </row>
    <row r="15" spans="1:1" ht="18" customHeight="1" x14ac:dyDescent="0.25">
      <c r="A15" s="19" t="s">
        <v>42</v>
      </c>
    </row>
    <row r="16" spans="1:1" ht="69.75" customHeight="1" x14ac:dyDescent="0.25">
      <c r="A16" s="18" t="s">
        <v>43</v>
      </c>
    </row>
    <row r="18" spans="1:1" ht="18" customHeight="1" x14ac:dyDescent="0.25">
      <c r="A18" s="17" t="s">
        <v>44</v>
      </c>
    </row>
    <row r="19" spans="1:1" ht="69.75" customHeight="1" x14ac:dyDescent="0.25">
      <c r="A19" s="18" t="s">
        <v>45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Registro RR</vt:lpstr>
      <vt:lpstr>Dashboard</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2026-07-29T18:35:24Z</dcterms:created>
  <dcterms:modified xsi:type="dcterms:W3CDTF">2026-07-29T18:37:24Z</dcterms:modified>
  <dc:language>en-US</dc:language>
</cp:coreProperties>
</file>