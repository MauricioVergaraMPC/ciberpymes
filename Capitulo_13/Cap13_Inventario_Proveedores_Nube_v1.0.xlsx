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95CC128CF5681A26D7AFADF0FC1F031B8E966C19" xr6:coauthVersionLast="47" xr6:coauthVersionMax="47" xr10:uidLastSave="{A0CEB322-F954-4A4D-9CF2-C4DF9CD1592F}"/>
  <bookViews>
    <workbookView xWindow="30630" yWindow="1410" windowWidth="22500" windowHeight="12225" tabRatio="500" xr2:uid="{00000000-000D-0000-FFFF-FFFF00000000}"/>
  </bookViews>
  <sheets>
    <sheet name="Inventario" sheetId="1" r:id="rId1"/>
    <sheet name="Dashboard" sheetId="2" r:id="rId2"/>
    <sheet name="Instructivo" sheetId="3" r:id="rId3"/>
  </sheets>
  <definedNames>
    <definedName name="_xlnm.Print_Titles" localSheetId="1">Dashboard!$1:$3</definedName>
    <definedName name="_xlnm.Print_Titles" localSheetId="2">Instructivo!$1:$3</definedName>
    <definedName name="_xlnm.Print_Titles" localSheetId="0">Inventario!$1:$3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" i="2" l="1"/>
  <c r="E6" i="2"/>
  <c r="D6" i="2"/>
  <c r="C6" i="2"/>
  <c r="B6" i="2"/>
  <c r="F5" i="2"/>
  <c r="E5" i="2"/>
  <c r="D5" i="2"/>
  <c r="C5" i="2"/>
  <c r="B5" i="2"/>
  <c r="F4" i="2"/>
  <c r="F7" i="2" s="1"/>
  <c r="E4" i="2"/>
  <c r="E7" i="2" s="1"/>
  <c r="D4" i="2"/>
  <c r="D7" i="2" s="1"/>
  <c r="C4" i="2"/>
  <c r="C7" i="2" s="1"/>
  <c r="B4" i="2"/>
  <c r="B7" i="2" s="1"/>
</calcChain>
</file>

<file path=xl/sharedStrings.xml><?xml version="1.0" encoding="utf-8"?>
<sst xmlns="http://schemas.openxmlformats.org/spreadsheetml/2006/main" count="73" uniqueCount="48">
  <si>
    <t>CIBERPROTECCIÓN PARA PyMES  ·  Capítulo 13 — Nube</t>
  </si>
  <si>
    <t>Inventario de Proveedores de Nube Autorizados</t>
  </si>
  <si>
    <t>Tipo de servicio</t>
  </si>
  <si>
    <t>N°</t>
  </si>
  <si>
    <t>Proveedor</t>
  </si>
  <si>
    <t>Responsable de la relación comercial</t>
  </si>
  <si>
    <t>Condiciones contractuales relevantes (seguridad y datos)</t>
  </si>
  <si>
    <t>Origen de la autorización</t>
  </si>
  <si>
    <t>Estado</t>
  </si>
  <si>
    <t>Próxima revisión</t>
  </si>
  <si>
    <t>Observaciones</t>
  </si>
  <si>
    <t>SaaS</t>
  </si>
  <si>
    <t>1</t>
  </si>
  <si>
    <t>Ejemplo: proveedor de correo y ofimática</t>
  </si>
  <si>
    <t>Responsable de TI</t>
  </si>
  <si>
    <t>MFA obligatorio, cifrado en tránsito y en reposo, DPA firmado, datos alojados en la región contratada</t>
  </si>
  <si>
    <t>Contratación formal</t>
  </si>
  <si>
    <t>Activo</t>
  </si>
  <si>
    <t>[dd/mm/aaaa]</t>
  </si>
  <si>
    <t>Servicio crítico para operación diaria</t>
  </si>
  <si>
    <t>PaaS</t>
  </si>
  <si>
    <t>Ejemplo: proveedor de base de datos administrada</t>
  </si>
  <si>
    <t>Cifrado en reposo habilitado, backups automáticos, acceso restringido por IP</t>
  </si>
  <si>
    <t>IaaS</t>
  </si>
  <si>
    <t>Ejemplo: proveedor de cómputo e infraestructura</t>
  </si>
  <si>
    <t>MFA en cuenta raíz, cifrado de volúmenes, registro de actividad habilitado</t>
  </si>
  <si>
    <t>Regularizado (uso informal)</t>
  </si>
  <si>
    <t>En revisión</t>
  </si>
  <si>
    <t>Detectado en el inventario técnico; en proceso de formalización contractual</t>
  </si>
  <si>
    <t>Las filas en cursiva son ejemplos ilustrativos. Reemplace o duplique las filas en blanco para registrar los proveedores reales de su organización; agregue filas adicionales si necesita más espacio dentro de cada categoría.</t>
  </si>
  <si>
    <t>Dashboard — Proveedores de Nube Autorizados</t>
  </si>
  <si>
    <t>Total proveedores</t>
  </si>
  <si>
    <t>Suspendido</t>
  </si>
  <si>
    <t>Dado de baja</t>
  </si>
  <si>
    <t>TOTAL GENERAL</t>
  </si>
  <si>
    <t>Nota: los conteos se actualizan automáticamente a partir de las columnas "Estado" y "Proveedor" de la hoja Inventario.</t>
  </si>
  <si>
    <t>Instructivo — Inventario de Proveedores de Nube Autorizados</t>
  </si>
  <si>
    <t>Campo</t>
  </si>
  <si>
    <t>Descripción</t>
  </si>
  <si>
    <t>Categoría del servicio prestado por el proveedor: SaaS, PaaS o IaaS. Cada categoría tiene su propio bloque de filas en la hoja Inventario.</t>
  </si>
  <si>
    <t>Consecutivo del proveedor dentro de su categoría.</t>
  </si>
  <si>
    <t>Nombre comercial del proveedor de nube.</t>
  </si>
  <si>
    <t>Persona o rol de la organización que administra el contrato, la facturación y el punto de contacto con el proveedor.</t>
  </si>
  <si>
    <t>Resumen de las condiciones que importan para la seguridad de la información: cifrado, ubicación de los datos, acuerdo de tratamiento de datos (DPA), retención y eliminación de datos al finalizar el contrato, entre otras.</t>
  </si>
  <si>
    <t>"Contratación formal" si el servicio se solicitó y aprobó siguiendo la Política de Uso de Servicios en la Nube; "Regularizado (uso informal)" si el servicio se detectó ya en uso y está en proceso de formalización.</t>
  </si>
  <si>
    <t>Activo, En revisión, Suspendido o Dado de baja.</t>
  </si>
  <si>
    <t>Fecha en la que corresponde revisar la vigencia y las condiciones del servicio.</t>
  </si>
  <si>
    <t>Cualquier información adicional relevante para el seguimiento del proveedor.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</si>
</sst>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b/>
      <sz val="11"/>
      <color rgb="FFFFFFFF"/>
      <name val="Calibri"/>
      <charset val="1"/>
    </font>
    <font>
      <b/>
      <sz val="10"/>
      <color rgb="FFFFFFFF"/>
      <name val="Calibri"/>
      <charset val="1"/>
    </font>
    <font>
      <i/>
      <sz val="10"/>
      <color rgb="FF555555"/>
      <name val="Calibri"/>
      <charset val="1"/>
    </font>
    <font>
      <sz val="10"/>
      <color rgb="FF000000"/>
      <name val="Calibri"/>
      <charset val="1"/>
    </font>
    <font>
      <i/>
      <sz val="9"/>
      <color rgb="FF555555"/>
      <name val="Calibri"/>
      <charset val="1"/>
    </font>
    <font>
      <b/>
      <sz val="10"/>
      <color rgb="FF000000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0F3F6E"/>
        <bgColor rgb="FF333399"/>
      </patternFill>
    </fill>
    <fill>
      <patternFill patternType="solid">
        <fgColor rgb="FF185FA5"/>
        <bgColor rgb="FF2E6DA4"/>
      </patternFill>
    </fill>
    <fill>
      <patternFill patternType="solid">
        <fgColor rgb="FFFFFFFF"/>
        <bgColor rgb="FFF5F5F2"/>
      </patternFill>
    </fill>
    <fill>
      <patternFill patternType="solid">
        <fgColor rgb="FFF5F5F2"/>
        <bgColor rgb="FFFFFFFF"/>
      </patternFill>
    </fill>
    <fill>
      <patternFill patternType="solid">
        <fgColor rgb="FF2E6DA4"/>
        <bgColor rgb="FF185FA5"/>
      </patternFill>
    </fill>
    <fill>
      <patternFill patternType="solid">
        <fgColor rgb="FFBA7517"/>
        <bgColor rgb="FFFF6600"/>
      </patternFill>
    </fill>
    <fill>
      <patternFill patternType="solid">
        <fgColor rgb="FFB5D4F4"/>
        <bgColor rgb="FF99CCFF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6" fillId="0" borderId="0" xfId="0" applyFont="1" applyAlignment="1">
      <alignment horizontal="left" vertical="center"/>
    </xf>
    <xf numFmtId="0" fontId="2" fillId="3" borderId="0" xfId="0" applyFont="1" applyFill="1"/>
    <xf numFmtId="0" fontId="1" fillId="2" borderId="0" xfId="0" applyFont="1" applyFill="1"/>
    <xf numFmtId="0" fontId="6" fillId="0" borderId="0" xfId="0" applyFont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49" fontId="4" fillId="4" borderId="1" xfId="0" applyNumberFormat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/>
    <xf numFmtId="0" fontId="7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6" borderId="1" xfId="0" applyFont="1" applyFill="1" applyBorder="1"/>
    <xf numFmtId="0" fontId="7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7" borderId="1" xfId="0" applyFont="1" applyFill="1" applyBorder="1"/>
    <xf numFmtId="0" fontId="3" fillId="2" borderId="1" xfId="0" applyFont="1" applyFill="1" applyBorder="1"/>
    <xf numFmtId="0" fontId="7" fillId="8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08080"/>
      <rgbColor rgb="FFD3D1C7"/>
      <rgbColor rgb="FF808080"/>
      <rgbColor rgb="FF9999FF"/>
      <rgbColor rgb="FF993366"/>
      <rgbColor rgb="FFF5F5F2"/>
      <rgbColor rgb="FFCCFFFF"/>
      <rgbColor rgb="FF660066"/>
      <rgbColor rgb="FFFF8080"/>
      <rgbColor rgb="FF185FA5"/>
      <rgbColor rgb="FFB5D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6DA4"/>
      <rgbColor rgb="FF33CCCC"/>
      <rgbColor rgb="FF99CC00"/>
      <rgbColor rgb="FFFFCC00"/>
      <rgbColor rgb="FFFF9900"/>
      <rgbColor rgb="FFFF6600"/>
      <rgbColor rgb="FF555555"/>
      <rgbColor rgb="FF969696"/>
      <rgbColor rgb="FF0F3F6E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1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I1"/>
    </sheetView>
  </sheetViews>
  <sheetFormatPr baseColWidth="10" defaultColWidth="8.7109375" defaultRowHeight="15" x14ac:dyDescent="0.25"/>
  <cols>
    <col min="1" max="1" width="16" customWidth="1"/>
    <col min="2" max="2" width="5" customWidth="1"/>
    <col min="3" max="3" width="24" customWidth="1"/>
    <col min="4" max="4" width="26" customWidth="1"/>
    <col min="5" max="5" width="40" customWidth="1"/>
    <col min="6" max="6" width="22" customWidth="1"/>
    <col min="7" max="8" width="16" customWidth="1"/>
    <col min="9" max="9" width="30" customWidth="1"/>
  </cols>
  <sheetData>
    <row r="1" spans="1:9" ht="21.7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</row>
    <row r="2" spans="1:9" ht="18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</row>
    <row r="3" spans="1:9" ht="30" customHeight="1" x14ac:dyDescent="0.25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</row>
    <row r="4" spans="1:9" ht="38.25" x14ac:dyDescent="0.25">
      <c r="A4" s="7" t="s">
        <v>11</v>
      </c>
      <c r="B4" s="11" t="s">
        <v>12</v>
      </c>
      <c r="C4" s="12" t="s">
        <v>13</v>
      </c>
      <c r="D4" s="12" t="s">
        <v>14</v>
      </c>
      <c r="E4" s="12" t="s">
        <v>15</v>
      </c>
      <c r="F4" s="12" t="s">
        <v>16</v>
      </c>
      <c r="G4" s="12" t="s">
        <v>17</v>
      </c>
      <c r="H4" s="12" t="s">
        <v>18</v>
      </c>
      <c r="I4" s="12" t="s">
        <v>19</v>
      </c>
    </row>
    <row r="5" spans="1:9" x14ac:dyDescent="0.25">
      <c r="A5" s="7"/>
      <c r="B5" s="13">
        <v>2</v>
      </c>
      <c r="C5" s="13"/>
      <c r="D5" s="13"/>
      <c r="E5" s="13"/>
      <c r="F5" s="13"/>
      <c r="G5" s="13"/>
      <c r="H5" s="13"/>
      <c r="I5" s="13"/>
    </row>
    <row r="6" spans="1:9" x14ac:dyDescent="0.25">
      <c r="A6" s="7"/>
      <c r="B6" s="14">
        <v>3</v>
      </c>
      <c r="C6" s="14"/>
      <c r="D6" s="14"/>
      <c r="E6" s="14"/>
      <c r="F6" s="14"/>
      <c r="G6" s="14"/>
      <c r="H6" s="14"/>
      <c r="I6" s="14"/>
    </row>
    <row r="7" spans="1:9" x14ac:dyDescent="0.25">
      <c r="A7" s="7"/>
      <c r="B7" s="13">
        <v>4</v>
      </c>
      <c r="C7" s="13"/>
      <c r="D7" s="13"/>
      <c r="E7" s="13"/>
      <c r="F7" s="13"/>
      <c r="G7" s="13"/>
      <c r="H7" s="13"/>
      <c r="I7" s="13"/>
    </row>
    <row r="8" spans="1:9" x14ac:dyDescent="0.25">
      <c r="A8" s="7"/>
      <c r="B8" s="14">
        <v>5</v>
      </c>
      <c r="C8" s="14"/>
      <c r="D8" s="14"/>
      <c r="E8" s="14"/>
      <c r="F8" s="14"/>
      <c r="G8" s="14"/>
      <c r="H8" s="14"/>
      <c r="I8" s="14"/>
    </row>
    <row r="9" spans="1:9" ht="25.5" x14ac:dyDescent="0.25">
      <c r="A9" s="6" t="s">
        <v>20</v>
      </c>
      <c r="B9" s="11" t="s">
        <v>12</v>
      </c>
      <c r="C9" s="12" t="s">
        <v>21</v>
      </c>
      <c r="D9" s="12" t="s">
        <v>14</v>
      </c>
      <c r="E9" s="12" t="s">
        <v>22</v>
      </c>
      <c r="F9" s="12" t="s">
        <v>16</v>
      </c>
      <c r="G9" s="12" t="s">
        <v>17</v>
      </c>
      <c r="H9" s="12" t="s">
        <v>18</v>
      </c>
      <c r="I9" s="12"/>
    </row>
    <row r="10" spans="1:9" x14ac:dyDescent="0.25">
      <c r="A10" s="6"/>
      <c r="B10" s="13">
        <v>2</v>
      </c>
      <c r="C10" s="13"/>
      <c r="D10" s="13"/>
      <c r="E10" s="13"/>
      <c r="F10" s="13"/>
      <c r="G10" s="13"/>
      <c r="H10" s="13"/>
      <c r="I10" s="13"/>
    </row>
    <row r="11" spans="1:9" x14ac:dyDescent="0.25">
      <c r="A11" s="6"/>
      <c r="B11" s="14">
        <v>3</v>
      </c>
      <c r="C11" s="14"/>
      <c r="D11" s="14"/>
      <c r="E11" s="14"/>
      <c r="F11" s="14"/>
      <c r="G11" s="14"/>
      <c r="H11" s="14"/>
      <c r="I11" s="14"/>
    </row>
    <row r="12" spans="1:9" x14ac:dyDescent="0.25">
      <c r="A12" s="6"/>
      <c r="B12" s="13">
        <v>4</v>
      </c>
      <c r="C12" s="13"/>
      <c r="D12" s="13"/>
      <c r="E12" s="13"/>
      <c r="F12" s="13"/>
      <c r="G12" s="13"/>
      <c r="H12" s="13"/>
      <c r="I12" s="13"/>
    </row>
    <row r="13" spans="1:9" x14ac:dyDescent="0.25">
      <c r="A13" s="6"/>
      <c r="B13" s="14">
        <v>5</v>
      </c>
      <c r="C13" s="14"/>
      <c r="D13" s="14"/>
      <c r="E13" s="14"/>
      <c r="F13" s="14"/>
      <c r="G13" s="14"/>
      <c r="H13" s="14"/>
      <c r="I13" s="14"/>
    </row>
    <row r="14" spans="1:9" ht="25.5" x14ac:dyDescent="0.25">
      <c r="A14" s="5" t="s">
        <v>23</v>
      </c>
      <c r="B14" s="11" t="s">
        <v>12</v>
      </c>
      <c r="C14" s="12" t="s">
        <v>24</v>
      </c>
      <c r="D14" s="12" t="s">
        <v>14</v>
      </c>
      <c r="E14" s="12" t="s">
        <v>25</v>
      </c>
      <c r="F14" s="12" t="s">
        <v>26</v>
      </c>
      <c r="G14" s="12" t="s">
        <v>27</v>
      </c>
      <c r="H14" s="12" t="s">
        <v>18</v>
      </c>
      <c r="I14" s="12" t="s">
        <v>28</v>
      </c>
    </row>
    <row r="15" spans="1:9" x14ac:dyDescent="0.25">
      <c r="A15" s="5"/>
      <c r="B15" s="13">
        <v>2</v>
      </c>
      <c r="C15" s="13"/>
      <c r="D15" s="13"/>
      <c r="E15" s="13"/>
      <c r="F15" s="13"/>
      <c r="G15" s="13"/>
      <c r="H15" s="13"/>
      <c r="I15" s="13"/>
    </row>
    <row r="16" spans="1:9" x14ac:dyDescent="0.25">
      <c r="A16" s="5"/>
      <c r="B16" s="14">
        <v>3</v>
      </c>
      <c r="C16" s="14"/>
      <c r="D16" s="14"/>
      <c r="E16" s="14"/>
      <c r="F16" s="14"/>
      <c r="G16" s="14"/>
      <c r="H16" s="14"/>
      <c r="I16" s="14"/>
    </row>
    <row r="17" spans="1:9" x14ac:dyDescent="0.25">
      <c r="A17" s="5"/>
      <c r="B17" s="13">
        <v>4</v>
      </c>
      <c r="C17" s="13"/>
      <c r="D17" s="13"/>
      <c r="E17" s="13"/>
      <c r="F17" s="13"/>
      <c r="G17" s="13"/>
      <c r="H17" s="13"/>
      <c r="I17" s="13"/>
    </row>
    <row r="18" spans="1:9" x14ac:dyDescent="0.25">
      <c r="A18" s="5"/>
      <c r="B18" s="14">
        <v>5</v>
      </c>
      <c r="C18" s="14"/>
      <c r="D18" s="14"/>
      <c r="E18" s="14"/>
      <c r="F18" s="14"/>
      <c r="G18" s="14"/>
      <c r="H18" s="14"/>
      <c r="I18" s="14"/>
    </row>
    <row r="20" spans="1:9" ht="6" customHeight="1" x14ac:dyDescent="0.25"/>
    <row r="21" spans="1:9" ht="27.75" customHeight="1" x14ac:dyDescent="0.25">
      <c r="A21" s="4" t="s">
        <v>29</v>
      </c>
      <c r="B21" s="4"/>
      <c r="C21" s="4"/>
      <c r="D21" s="4"/>
      <c r="E21" s="4"/>
      <c r="F21" s="4"/>
      <c r="G21" s="4"/>
      <c r="H21" s="4"/>
      <c r="I21" s="4"/>
    </row>
  </sheetData>
  <mergeCells count="6">
    <mergeCell ref="A21:I21"/>
    <mergeCell ref="A1:I1"/>
    <mergeCell ref="A2:I2"/>
    <mergeCell ref="A4:A8"/>
    <mergeCell ref="A9:A13"/>
    <mergeCell ref="A14:A18"/>
  </mergeCells>
  <dataValidations count="2">
    <dataValidation type="list" allowBlank="1" sqref="G4:G18" xr:uid="{00000000-0002-0000-0000-000000000000}">
      <formula1>"Activo,En revisión,Suspendido,Dado de baja"</formula1>
      <formula2>0</formula2>
    </dataValidation>
    <dataValidation type="list" allowBlank="1" sqref="F4:F18" xr:uid="{00000000-0002-0000-0000-000001000000}">
      <formula1>"Contratación formal,Regularizado (uso informal)"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9"/>
  <sheetViews>
    <sheetView zoomScaleNormal="100" workbookViewId="0">
      <selection sqref="A1:F1"/>
    </sheetView>
  </sheetViews>
  <sheetFormatPr baseColWidth="10" defaultColWidth="8.7109375" defaultRowHeight="15" x14ac:dyDescent="0.25"/>
  <cols>
    <col min="1" max="1" width="20" customWidth="1"/>
    <col min="2" max="6" width="15" customWidth="1"/>
  </cols>
  <sheetData>
    <row r="1" spans="1:6" ht="21.75" customHeight="1" x14ac:dyDescent="0.3">
      <c r="A1" s="3" t="s">
        <v>0</v>
      </c>
      <c r="B1" s="3"/>
      <c r="C1" s="3"/>
      <c r="D1" s="3"/>
      <c r="E1" s="3"/>
      <c r="F1" s="3"/>
    </row>
    <row r="2" spans="1:6" ht="18" customHeight="1" x14ac:dyDescent="0.25">
      <c r="A2" s="2" t="s">
        <v>30</v>
      </c>
      <c r="B2" s="2"/>
      <c r="C2" s="2"/>
      <c r="D2" s="2"/>
      <c r="E2" s="2"/>
      <c r="F2" s="2"/>
    </row>
    <row r="3" spans="1:6" ht="25.5" x14ac:dyDescent="0.25">
      <c r="A3" s="10" t="s">
        <v>2</v>
      </c>
      <c r="B3" s="10" t="s">
        <v>31</v>
      </c>
      <c r="C3" s="10" t="s">
        <v>17</v>
      </c>
      <c r="D3" s="10" t="s">
        <v>27</v>
      </c>
      <c r="E3" s="10" t="s">
        <v>32</v>
      </c>
      <c r="F3" s="10" t="s">
        <v>33</v>
      </c>
    </row>
    <row r="4" spans="1:6" x14ac:dyDescent="0.25">
      <c r="A4" s="15" t="s">
        <v>11</v>
      </c>
      <c r="B4" s="16">
        <f>COUNTA(Inventario!C4:C8)</f>
        <v>1</v>
      </c>
      <c r="C4" s="17">
        <f>COUNTIF(Inventario!G4:G8,"Activo")</f>
        <v>1</v>
      </c>
      <c r="D4" s="17">
        <f>COUNTIF(Inventario!G4:G8,"En revisión")</f>
        <v>0</v>
      </c>
      <c r="E4" s="17">
        <f>COUNTIF(Inventario!G4:G8,"Suspendido")</f>
        <v>0</v>
      </c>
      <c r="F4" s="17">
        <f>COUNTIF(Inventario!G4:G8,"Dado de baja")</f>
        <v>0</v>
      </c>
    </row>
    <row r="5" spans="1:6" x14ac:dyDescent="0.25">
      <c r="A5" s="18" t="s">
        <v>20</v>
      </c>
      <c r="B5" s="19">
        <f>COUNTA(Inventario!C9:C13)</f>
        <v>1</v>
      </c>
      <c r="C5" s="20">
        <f>COUNTIF(Inventario!G9:G13,"Activo")</f>
        <v>1</v>
      </c>
      <c r="D5" s="20">
        <f>COUNTIF(Inventario!G9:G13,"En revisión")</f>
        <v>0</v>
      </c>
      <c r="E5" s="20">
        <f>COUNTIF(Inventario!G9:G13,"Suspendido")</f>
        <v>0</v>
      </c>
      <c r="F5" s="20">
        <f>COUNTIF(Inventario!G9:G13,"Dado de baja")</f>
        <v>0</v>
      </c>
    </row>
    <row r="6" spans="1:6" x14ac:dyDescent="0.25">
      <c r="A6" s="21" t="s">
        <v>23</v>
      </c>
      <c r="B6" s="16">
        <f>COUNTA(Inventario!C14:C18)</f>
        <v>1</v>
      </c>
      <c r="C6" s="17">
        <f>COUNTIF(Inventario!G14:G18,"Activo")</f>
        <v>0</v>
      </c>
      <c r="D6" s="17">
        <f>COUNTIF(Inventario!G14:G18,"En revisión")</f>
        <v>1</v>
      </c>
      <c r="E6" s="17">
        <f>COUNTIF(Inventario!G14:G18,"Suspendido")</f>
        <v>0</v>
      </c>
      <c r="F6" s="17">
        <f>COUNTIF(Inventario!G14:G18,"Dado de baja")</f>
        <v>0</v>
      </c>
    </row>
    <row r="7" spans="1:6" x14ac:dyDescent="0.25">
      <c r="A7" s="22" t="s">
        <v>34</v>
      </c>
      <c r="B7" s="23">
        <f>SUM(B4:B6)</f>
        <v>3</v>
      </c>
      <c r="C7" s="23">
        <f>SUM(C4:C6)</f>
        <v>2</v>
      </c>
      <c r="D7" s="23">
        <f>SUM(D4:D6)</f>
        <v>1</v>
      </c>
      <c r="E7" s="23">
        <f>SUM(E4:E6)</f>
        <v>0</v>
      </c>
      <c r="F7" s="23">
        <f>SUM(F4:F6)</f>
        <v>0</v>
      </c>
    </row>
    <row r="9" spans="1:6" x14ac:dyDescent="0.25">
      <c r="A9" s="1" t="s">
        <v>35</v>
      </c>
      <c r="B9" s="1"/>
      <c r="C9" s="1"/>
      <c r="D9" s="1"/>
      <c r="E9" s="1"/>
      <c r="F9" s="1"/>
    </row>
  </sheetData>
  <mergeCells count="3">
    <mergeCell ref="A1:F1"/>
    <mergeCell ref="A2:F2"/>
    <mergeCell ref="A9:F9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12"/>
  <sheetViews>
    <sheetView zoomScaleNormal="100" workbookViewId="0">
      <selection sqref="A1:B1"/>
    </sheetView>
  </sheetViews>
  <sheetFormatPr baseColWidth="10" defaultColWidth="8.7109375" defaultRowHeight="15" x14ac:dyDescent="0.25"/>
  <cols>
    <col min="1" max="1" width="30" customWidth="1"/>
    <col min="2" max="2" width="70" customWidth="1"/>
  </cols>
  <sheetData>
    <row r="1" spans="1:2" ht="21.75" customHeight="1" x14ac:dyDescent="0.3">
      <c r="A1" s="3" t="s">
        <v>0</v>
      </c>
      <c r="B1" s="3"/>
    </row>
    <row r="2" spans="1:2" ht="18" customHeight="1" x14ac:dyDescent="0.25">
      <c r="A2" s="2" t="s">
        <v>36</v>
      </c>
      <c r="B2" s="2"/>
    </row>
    <row r="3" spans="1:2" x14ac:dyDescent="0.25">
      <c r="A3" s="15" t="s">
        <v>37</v>
      </c>
      <c r="B3" s="15" t="s">
        <v>38</v>
      </c>
    </row>
    <row r="4" spans="1:2" ht="25.5" x14ac:dyDescent="0.25">
      <c r="A4" s="24" t="s">
        <v>2</v>
      </c>
      <c r="B4" s="24" t="s">
        <v>39</v>
      </c>
    </row>
    <row r="5" spans="1:2" x14ac:dyDescent="0.25">
      <c r="A5" s="25" t="s">
        <v>3</v>
      </c>
      <c r="B5" s="25" t="s">
        <v>40</v>
      </c>
    </row>
    <row r="6" spans="1:2" x14ac:dyDescent="0.25">
      <c r="A6" s="24" t="s">
        <v>4</v>
      </c>
      <c r="B6" s="24" t="s">
        <v>41</v>
      </c>
    </row>
    <row r="7" spans="1:2" ht="25.5" x14ac:dyDescent="0.25">
      <c r="A7" s="25" t="s">
        <v>5</v>
      </c>
      <c r="B7" s="25" t="s">
        <v>42</v>
      </c>
    </row>
    <row r="8" spans="1:2" ht="38.25" x14ac:dyDescent="0.25">
      <c r="A8" s="24" t="s">
        <v>6</v>
      </c>
      <c r="B8" s="24" t="s">
        <v>43</v>
      </c>
    </row>
    <row r="9" spans="1:2" ht="38.25" x14ac:dyDescent="0.25">
      <c r="A9" s="25" t="s">
        <v>7</v>
      </c>
      <c r="B9" s="25" t="s">
        <v>44</v>
      </c>
    </row>
    <row r="10" spans="1:2" x14ac:dyDescent="0.25">
      <c r="A10" s="24" t="s">
        <v>8</v>
      </c>
      <c r="B10" s="24" t="s">
        <v>45</v>
      </c>
    </row>
    <row r="11" spans="1:2" x14ac:dyDescent="0.25">
      <c r="A11" s="25" t="s">
        <v>9</v>
      </c>
      <c r="B11" s="25" t="s">
        <v>46</v>
      </c>
    </row>
    <row r="12" spans="1:2" x14ac:dyDescent="0.25">
      <c r="A12" s="24" t="s">
        <v>10</v>
      </c>
      <c r="B12" s="24" t="s">
        <v>47</v>
      </c>
    </row>
  </sheetData>
  <mergeCells count="2">
    <mergeCell ref="A1:B1"/>
    <mergeCell ref="A2:B2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Inventario</vt:lpstr>
      <vt:lpstr>Dashboard</vt:lpstr>
      <vt:lpstr>Instructivo</vt:lpstr>
      <vt:lpstr>Dashboard!Títulos_a_imprimir</vt:lpstr>
      <vt:lpstr>Instructivo!Títulos_a_imprimir</vt:lpstr>
      <vt:lpstr>Inventario!Títulos_a_imprimir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2026-09-18T16:14:00Z</dcterms:created>
  <dcterms:modified xsi:type="dcterms:W3CDTF">2026-09-18T16:16:16Z</dcterms:modified>
  <dc:language>en-US</dc:language>
</cp:coreProperties>
</file>