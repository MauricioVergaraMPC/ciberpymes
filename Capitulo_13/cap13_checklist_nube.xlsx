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openitsoft-my.sharepoint.com/personal/mvergara_openitnet_com/Documents/Desktop/"/>
    </mc:Choice>
  </mc:AlternateContent>
  <xr:revisionPtr revIDLastSave="0" documentId="11_9FA7946D27C05D4C58820E976DDC09B0561E62DB" xr6:coauthVersionLast="47" xr6:coauthVersionMax="47" xr10:uidLastSave="{00000000-0000-0000-0000-000000000000}"/>
  <bookViews>
    <workbookView xWindow="30675" yWindow="1395" windowWidth="23385" windowHeight="13305" tabRatio="500" xr2:uid="{00000000-000D-0000-FFFF-FFFF00000000}"/>
  </bookViews>
  <sheets>
    <sheet name="Checklist Cap. 13" sheetId="1" r:id="rId1"/>
    <sheet name="Dashboard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12" i="2" l="1"/>
  <c r="E10" i="2"/>
  <c r="D10" i="2"/>
  <c r="C10" i="2"/>
  <c r="E9" i="2"/>
  <c r="D9" i="2"/>
  <c r="C9" i="2"/>
  <c r="E8" i="2"/>
  <c r="D8" i="2"/>
  <c r="C8" i="2"/>
  <c r="E7" i="2"/>
  <c r="D7" i="2"/>
  <c r="C7" i="2"/>
  <c r="E6" i="2"/>
  <c r="E12" i="2" s="1"/>
  <c r="D6" i="2"/>
  <c r="D12" i="2" s="1"/>
  <c r="C6" i="2"/>
  <c r="C12" i="2" s="1"/>
  <c r="D14" i="2" s="1"/>
</calcChain>
</file>

<file path=xl/sharedStrings.xml><?xml version="1.0" encoding="utf-8"?>
<sst xmlns="http://schemas.openxmlformats.org/spreadsheetml/2006/main" count="162" uniqueCount="91">
  <si>
    <t>CHECKLIST DE IMPLEMENTACIÓN — CAPÍTULO 13: COMPUTACIÓN EN LA NUBE</t>
  </si>
  <si>
    <t>#</t>
  </si>
  <si>
    <t>Función NIST CSF 2.0</t>
  </si>
  <si>
    <t>Control / Acción</t>
  </si>
  <si>
    <t>Estado</t>
  </si>
  <si>
    <t>Responsable</t>
  </si>
  <si>
    <t>Fecha límite</t>
  </si>
  <si>
    <t>Observaciones / Evidencia</t>
  </si>
  <si>
    <t>ID-01</t>
  </si>
  <si>
    <t>Identificación</t>
  </si>
  <si>
    <t>Levantar inventario completo de todos los servicios cloud activos (nombre, proveedor, tipo IaaS/PaaS/SaaS, región, ambiente)</t>
  </si>
  <si>
    <t>❌ Pendiente</t>
  </si>
  <si>
    <t>ID-02</t>
  </si>
  <si>
    <t>Registrar propietario técnico y área responsable por cada servicio en el inventario</t>
  </si>
  <si>
    <t>ID-03</t>
  </si>
  <si>
    <t>Documentar el tipo de acceso (público, privado, híbrido) y el método de autenticación habilitado por servicio</t>
  </si>
  <si>
    <t>ID-04</t>
  </si>
  <si>
    <t>Clasificar la información procesada o almacenada en cada servicio (pública, interna, confidencial, sensible)</t>
  </si>
  <si>
    <t>ID-05</t>
  </si>
  <si>
    <t>Determinar el nivel de criticidad de cada servicio (alto, medio, bajo) con base en sensibilidad, disponibilidad e impacto reputacional</t>
  </si>
  <si>
    <t>ID-06</t>
  </si>
  <si>
    <t>Establecer KRIs con umbrales verde/amarillo/rojo para los servicios cloud críticos</t>
  </si>
  <si>
    <t>ID-07</t>
  </si>
  <si>
    <t>Programar revisión periódica (mensual o trimestral) del inventario y los KRIs</t>
  </si>
  <si>
    <t>ID-08</t>
  </si>
  <si>
    <t>Crear o actualizar el diagrama de red del entorno cloud con servicios activos, conexiones y puntos de entrada desde internet</t>
  </si>
  <si>
    <t>PT-01</t>
  </si>
  <si>
    <t>Protección</t>
  </si>
  <si>
    <t>Habilitar MFA en todas las cuentas con acceso a consolas de administración cloud</t>
  </si>
  <si>
    <t>PT-02</t>
  </si>
  <si>
    <t>Verificar que ningún servicio cloud tiene credenciales o secretos embebidos en código fuente o archivos de configuración</t>
  </si>
  <si>
    <t>PT-03</t>
  </si>
  <si>
    <t>Implementar un gestor de secretos (AWS Secrets Manager, HashiCorp Vault o equivalente) para todas las credenciales de acceso programático</t>
  </si>
  <si>
    <t>PT-04</t>
  </si>
  <si>
    <t>Aplicar el principio de mínimo privilegio: revisar y ajustar roles IAM para que cada usuario o servicio tenga solo los permisos que necesita</t>
  </si>
  <si>
    <t>PT-05</t>
  </si>
  <si>
    <t>Verificar que ningún bucket o contenedor de almacenamiento tiene acceso público habilitado sin justificación documentada</t>
  </si>
  <si>
    <t>PT-06</t>
  </si>
  <si>
    <t>Confirmar que el cifrado en reposo y en tránsito está habilitado en todos los servicios que almacenan datos confidenciales o sensibles</t>
  </si>
  <si>
    <t>PT-07</t>
  </si>
  <si>
    <t>Definir e implementar la estrategia de respaldo diferenciada por modelo de servicio (IaaS / PaaS / SaaS)</t>
  </si>
  <si>
    <t>PT-08</t>
  </si>
  <si>
    <t>Verificar que los respaldos están almacenados en una ubicación separada del entorno de producción</t>
  </si>
  <si>
    <t>PT-09</t>
  </si>
  <si>
    <t>Documentar y desplegar el Plan de Recuperación ante Desastres (DRP) con RTO, RPO y escenarios definidos</t>
  </si>
  <si>
    <t>PT-10</t>
  </si>
  <si>
    <t>Integrar una revisión de seguridad (secrets scanning) en el proceso de publicación de código antes de su despliegue</t>
  </si>
  <si>
    <t>DT-01</t>
  </si>
  <si>
    <t>Detección</t>
  </si>
  <si>
    <t>Habilitar logging de actividad (CloudTrail, Activity Log, Audit Logs) en todas las cuentas y servicios cloud críticos</t>
  </si>
  <si>
    <t>DT-02</t>
  </si>
  <si>
    <t>Configurar alertas automáticas para eventos de acceso anómalo, cambios de configuración críticos y actividad fuera de horario</t>
  </si>
  <si>
    <t>DT-03</t>
  </si>
  <si>
    <t>Desplegar una herramienta CSPM (Prowler, AWS Security Hub, Azure Security Center o equivalente) para detección continua de configuraciones inseguras</t>
  </si>
  <si>
    <t>DT-04</t>
  </si>
  <si>
    <t>Verificar que los logs tienen un período de retención definido y que son exportados a un repositorio protegido antes de su expiración</t>
  </si>
  <si>
    <t>DT-05</t>
  </si>
  <si>
    <t>Establecer revisiones periódicas del estado de permisos de acceso a contenedores de almacenamiento</t>
  </si>
  <si>
    <t>DT-06</t>
  </si>
  <si>
    <t>Confirmar que existe visibilidad sobre el costo del entorno cloud y que hay alertas configuradas ante consumos anómalos</t>
  </si>
  <si>
    <t>RS-01</t>
  </si>
  <si>
    <t>Respuesta</t>
  </si>
  <si>
    <t>Documentar el procedimiento de respuesta a incidentes cloud con roles, responsables y canales de comunicación definidos</t>
  </si>
  <si>
    <t>RS-02</t>
  </si>
  <si>
    <t>Definir las condiciones de activación del DRP con criterios concretos y medibles</t>
  </si>
  <si>
    <t>RS-03</t>
  </si>
  <si>
    <t>Documentar el procedimiento de revocación de credenciales comprometidas y generación de nuevas credenciales</t>
  </si>
  <si>
    <t>RS-04</t>
  </si>
  <si>
    <t>Establecer el protocolo de notificación interna y externa ante un incidente de seguridad cloud</t>
  </si>
  <si>
    <t>RS-05</t>
  </si>
  <si>
    <t>Confirmar que el árbol de contactos del DRP está actualizado y disponible fuera del entorno de nube (impreso o en repositorio alterno)</t>
  </si>
  <si>
    <t>RC-01</t>
  </si>
  <si>
    <t>Recuperación</t>
  </si>
  <si>
    <t>Ejecutar al menos una prueba del DRP en modalidad de revisión documental (walkthrough)</t>
  </si>
  <si>
    <t>RC-02</t>
  </si>
  <si>
    <t>Ejecutar al menos una simulación técnica en entorno aislado midiendo tiempos reales contra los RTO definidos</t>
  </si>
  <si>
    <t>RC-03</t>
  </si>
  <si>
    <t>Documentar el procedimiento de verificación de integridad del entorno recuperado antes de devolverlo a producción</t>
  </si>
  <si>
    <t>RC-04</t>
  </si>
  <si>
    <t>Definir el proceso de recopilación y preservación de evidencia forense post-incidente</t>
  </si>
  <si>
    <t>RC-05</t>
  </si>
  <si>
    <t>Establecer el formato y la metodología para el análisis post-mortem (a ejecutar dentro de los 5 días hábiles siguientes a la resolución)</t>
  </si>
  <si>
    <t>RC-06</t>
  </si>
  <si>
    <t>Confirmar que los resultados de cada prueba del DRP se documentan en un acta formal con desviaciones y acciones correctivas</t>
  </si>
  <si>
    <t>RESUMEN DE IMPLEMENTACIÓN — CAPÍTULO 13</t>
  </si>
  <si>
    <t>✅ Implementado</t>
  </si>
  <si>
    <t>⚠️ En progreso</t>
  </si>
  <si>
    <t>Total controles</t>
  </si>
  <si>
    <t>TOTAL</t>
  </si>
  <si>
    <t>% de implementación:</t>
  </si>
  <si>
    <t>Instrucciones: En la hoja 'Checklist Cap. 13', actualice la columna Estado seleccionando una opción del menú desplegable. Este tablero se actualiza automáticamente. Complete también las columnas Responsable y Fecha límite.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</si>
</sst>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charset val="1"/>
    </font>
    <font>
      <b/>
      <sz val="15"/>
      <color rgb="FFFFFFFF"/>
      <name val="Calibri"/>
      <family val="2"/>
    </font>
    <font>
      <b/>
      <sz val="10"/>
      <color rgb="FFFFFFFF"/>
      <name val="Calibri"/>
      <family val="2"/>
    </font>
    <font>
      <b/>
      <sz val="9"/>
      <color rgb="FF1ABC9C"/>
      <name val="Calibri"/>
      <family val="2"/>
    </font>
    <font>
      <b/>
      <sz val="9"/>
      <color rgb="FFFFFFFF"/>
      <name val="Calibri"/>
      <family val="2"/>
    </font>
    <font>
      <sz val="9"/>
      <color rgb="FF1A1A2E"/>
      <name val="Calibri"/>
      <family val="2"/>
    </font>
    <font>
      <sz val="9"/>
      <name val="Calibri"/>
      <family val="2"/>
    </font>
    <font>
      <sz val="9"/>
      <color rgb="FF666666"/>
      <name val="Calibri"/>
      <family val="2"/>
    </font>
    <font>
      <b/>
      <sz val="9"/>
      <color rgb="FF2E75B6"/>
      <name val="Calibri"/>
      <family val="2"/>
    </font>
    <font>
      <b/>
      <sz val="9"/>
      <color rgb="FF8E44AD"/>
      <name val="Calibri"/>
      <family val="2"/>
    </font>
    <font>
      <b/>
      <sz val="9"/>
      <color rgb="FFE67E22"/>
      <name val="Calibri"/>
      <family val="2"/>
    </font>
    <font>
      <b/>
      <sz val="9"/>
      <color rgb="FF27AE60"/>
      <name val="Calibri"/>
      <family val="2"/>
    </font>
    <font>
      <b/>
      <sz val="14"/>
      <color rgb="FFFFFFFF"/>
      <name val="Calibri"/>
      <family val="2"/>
    </font>
    <font>
      <b/>
      <sz val="11"/>
      <color rgb="FF27AE60"/>
      <name val="Calibri"/>
      <family val="2"/>
    </font>
    <font>
      <b/>
      <sz val="11"/>
      <color rgb="FFE67E22"/>
      <name val="Calibri"/>
      <family val="2"/>
    </font>
    <font>
      <b/>
      <sz val="11"/>
      <color rgb="FFC0392B"/>
      <name val="Calibri"/>
      <family val="2"/>
    </font>
    <font>
      <b/>
      <sz val="11"/>
      <color rgb="FF1A1A2E"/>
      <name val="Calibri"/>
      <family val="2"/>
    </font>
    <font>
      <b/>
      <sz val="12"/>
      <color rgb="FFFFFFFF"/>
      <name val="Calibri"/>
      <family val="2"/>
    </font>
    <font>
      <b/>
      <sz val="14"/>
      <color rgb="FF2F5496"/>
      <name val="Calibri"/>
      <family val="2"/>
    </font>
    <font>
      <i/>
      <sz val="9"/>
      <color rgb="FF555555"/>
      <name val="Calibri"/>
      <family val="2"/>
    </font>
  </fonts>
  <fills count="20">
    <fill>
      <patternFill patternType="none"/>
    </fill>
    <fill>
      <patternFill patternType="gray125"/>
    </fill>
    <fill>
      <patternFill patternType="solid">
        <fgColor rgb="FF1F3763"/>
        <bgColor rgb="FF1A1A2E"/>
      </patternFill>
    </fill>
    <fill>
      <patternFill patternType="solid">
        <fgColor rgb="FF2F5496"/>
        <bgColor rgb="FF2E75B6"/>
      </patternFill>
    </fill>
    <fill>
      <patternFill patternType="solid">
        <fgColor rgb="FFD1F2EB"/>
        <bgColor rgb="FFD5F5E3"/>
      </patternFill>
    </fill>
    <fill>
      <patternFill patternType="solid">
        <fgColor rgb="FF1ABC9C"/>
        <bgColor rgb="FF27AE60"/>
      </patternFill>
    </fill>
    <fill>
      <patternFill patternType="solid">
        <fgColor rgb="FFFADBD8"/>
        <bgColor rgb="FFE8DAEF"/>
      </patternFill>
    </fill>
    <fill>
      <patternFill patternType="solid">
        <fgColor rgb="FFFFFFFF"/>
        <bgColor rgb="FFFEF9E7"/>
      </patternFill>
    </fill>
    <fill>
      <patternFill patternType="solid">
        <fgColor rgb="FFD6EAF8"/>
        <bgColor rgb="FFD6E4F0"/>
      </patternFill>
    </fill>
    <fill>
      <patternFill patternType="solid">
        <fgColor rgb="FF2E75B6"/>
        <bgColor rgb="FF2F5496"/>
      </patternFill>
    </fill>
    <fill>
      <patternFill patternType="solid">
        <fgColor rgb="FFE8DAEF"/>
        <bgColor rgb="FFFADBD8"/>
      </patternFill>
    </fill>
    <fill>
      <patternFill patternType="solid">
        <fgColor rgb="FF8E44AD"/>
        <bgColor rgb="FF993366"/>
      </patternFill>
    </fill>
    <fill>
      <patternFill patternType="solid">
        <fgColor rgb="FFFDEBD0"/>
        <bgColor rgb="FFFADBD8"/>
      </patternFill>
    </fill>
    <fill>
      <patternFill patternType="solid">
        <fgColor rgb="FFE67E22"/>
        <bgColor rgb="FFFF9900"/>
      </patternFill>
    </fill>
    <fill>
      <patternFill patternType="solid">
        <fgColor rgb="FF27AE60"/>
        <bgColor rgb="FF1ABC9C"/>
      </patternFill>
    </fill>
    <fill>
      <patternFill patternType="solid">
        <fgColor rgb="FFD5F5E3"/>
        <bgColor rgb="FFD1F2EB"/>
      </patternFill>
    </fill>
    <fill>
      <patternFill patternType="solid">
        <fgColor rgb="FFFEF9E7"/>
        <bgColor rgb="FFFFF9E6"/>
      </patternFill>
    </fill>
    <fill>
      <patternFill patternType="solid">
        <fgColor rgb="FFF2F2F2"/>
        <bgColor rgb="FFFEF9E7"/>
      </patternFill>
    </fill>
    <fill>
      <patternFill patternType="solid">
        <fgColor rgb="FFD6E4F0"/>
        <bgColor rgb="FFD6EAF8"/>
      </patternFill>
    </fill>
    <fill>
      <patternFill patternType="solid">
        <fgColor rgb="FFFFF9E6"/>
        <bgColor rgb="FFFEF9E7"/>
      </patternFill>
    </fill>
  </fills>
  <borders count="5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B0C4DE"/>
      </left>
      <right style="thin">
        <color rgb="FFB0C4DE"/>
      </right>
      <top style="thin">
        <color rgb="FFB0C4DE"/>
      </top>
      <bottom style="thin">
        <color rgb="FFB0C4DE"/>
      </bottom>
      <diagonal/>
    </border>
    <border>
      <left style="thin">
        <color rgb="FFB0C4DE"/>
      </left>
      <right/>
      <top style="thin">
        <color rgb="FFB0C4DE"/>
      </top>
      <bottom style="thin">
        <color rgb="FFB0C4DE"/>
      </bottom>
      <diagonal/>
    </border>
    <border>
      <left style="thin">
        <color rgb="FFE67E22"/>
      </left>
      <right style="thin">
        <color rgb="FFE67E22"/>
      </right>
      <top style="thin">
        <color rgb="FFE67E22"/>
      </top>
      <bottom style="thin">
        <color rgb="FFE67E22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19" fillId="19" borderId="4" xfId="0" applyFont="1" applyFill="1" applyBorder="1" applyAlignment="1">
      <alignment vertical="center" wrapText="1" indent="1"/>
    </xf>
    <xf numFmtId="0" fontId="16" fillId="17" borderId="3" xfId="0" applyFont="1" applyFill="1" applyBorder="1" applyAlignment="1">
      <alignment vertical="center" indent="1"/>
    </xf>
    <xf numFmtId="0" fontId="0" fillId="3" borderId="0" xfId="0" applyFill="1"/>
    <xf numFmtId="0" fontId="12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2" borderId="0" xfId="0" applyFill="1"/>
    <xf numFmtId="0" fontId="2" fillId="3" borderId="1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vertical="center" wrapText="1"/>
    </xf>
    <xf numFmtId="0" fontId="6" fillId="6" borderId="2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vertical="center"/>
    </xf>
    <xf numFmtId="0" fontId="6" fillId="4" borderId="2" xfId="0" applyFont="1" applyFill="1" applyBorder="1" applyAlignment="1">
      <alignment horizontal="center" vertical="center"/>
    </xf>
    <xf numFmtId="0" fontId="7" fillId="4" borderId="2" xfId="0" applyFont="1" applyFill="1" applyBorder="1" applyAlignment="1">
      <alignment vertical="center" wrapText="1"/>
    </xf>
    <xf numFmtId="0" fontId="3" fillId="7" borderId="2" xfId="0" applyFont="1" applyFill="1" applyBorder="1" applyAlignment="1">
      <alignment horizontal="center" vertical="center"/>
    </xf>
    <xf numFmtId="0" fontId="5" fillId="7" borderId="2" xfId="0" applyFont="1" applyFill="1" applyBorder="1" applyAlignment="1">
      <alignment vertical="center" wrapText="1"/>
    </xf>
    <xf numFmtId="0" fontId="6" fillId="7" borderId="2" xfId="0" applyFont="1" applyFill="1" applyBorder="1" applyAlignment="1">
      <alignment vertical="center"/>
    </xf>
    <xf numFmtId="0" fontId="6" fillId="7" borderId="2" xfId="0" applyFont="1" applyFill="1" applyBorder="1" applyAlignment="1">
      <alignment horizontal="center" vertical="center"/>
    </xf>
    <xf numFmtId="0" fontId="7" fillId="7" borderId="2" xfId="0" applyFont="1" applyFill="1" applyBorder="1" applyAlignment="1">
      <alignment vertical="center" wrapText="1"/>
    </xf>
    <xf numFmtId="0" fontId="8" fillId="8" borderId="2" xfId="0" applyFont="1" applyFill="1" applyBorder="1" applyAlignment="1">
      <alignment horizontal="center" vertical="center"/>
    </xf>
    <xf numFmtId="0" fontId="4" fillId="9" borderId="2" xfId="0" applyFont="1" applyFill="1" applyBorder="1" applyAlignment="1">
      <alignment horizontal="center" vertical="center" wrapText="1"/>
    </xf>
    <xf numFmtId="0" fontId="5" fillId="8" borderId="2" xfId="0" applyFont="1" applyFill="1" applyBorder="1" applyAlignment="1">
      <alignment vertical="center" wrapText="1"/>
    </xf>
    <xf numFmtId="0" fontId="6" fillId="8" borderId="2" xfId="0" applyFont="1" applyFill="1" applyBorder="1" applyAlignment="1">
      <alignment vertical="center"/>
    </xf>
    <xf numFmtId="0" fontId="6" fillId="8" borderId="2" xfId="0" applyFont="1" applyFill="1" applyBorder="1" applyAlignment="1">
      <alignment horizontal="center" vertical="center"/>
    </xf>
    <xf numFmtId="0" fontId="7" fillId="8" borderId="2" xfId="0" applyFont="1" applyFill="1" applyBorder="1" applyAlignment="1">
      <alignment vertical="center" wrapText="1"/>
    </xf>
    <xf numFmtId="0" fontId="8" fillId="7" borderId="2" xfId="0" applyFont="1" applyFill="1" applyBorder="1" applyAlignment="1">
      <alignment horizontal="center" vertical="center"/>
    </xf>
    <xf numFmtId="0" fontId="9" fillId="10" borderId="2" xfId="0" applyFont="1" applyFill="1" applyBorder="1" applyAlignment="1">
      <alignment horizontal="center" vertical="center"/>
    </xf>
    <xf numFmtId="0" fontId="4" fillId="11" borderId="2" xfId="0" applyFont="1" applyFill="1" applyBorder="1" applyAlignment="1">
      <alignment horizontal="center" vertical="center" wrapText="1"/>
    </xf>
    <xf numFmtId="0" fontId="5" fillId="10" borderId="2" xfId="0" applyFont="1" applyFill="1" applyBorder="1" applyAlignment="1">
      <alignment vertical="center" wrapText="1"/>
    </xf>
    <xf numFmtId="0" fontId="6" fillId="10" borderId="2" xfId="0" applyFont="1" applyFill="1" applyBorder="1" applyAlignment="1">
      <alignment vertical="center"/>
    </xf>
    <xf numFmtId="0" fontId="6" fillId="10" borderId="2" xfId="0" applyFont="1" applyFill="1" applyBorder="1" applyAlignment="1">
      <alignment horizontal="center" vertical="center"/>
    </xf>
    <xf numFmtId="0" fontId="7" fillId="10" borderId="2" xfId="0" applyFont="1" applyFill="1" applyBorder="1" applyAlignment="1">
      <alignment vertical="center" wrapText="1"/>
    </xf>
    <xf numFmtId="0" fontId="9" fillId="7" borderId="2" xfId="0" applyFont="1" applyFill="1" applyBorder="1" applyAlignment="1">
      <alignment horizontal="center" vertical="center"/>
    </xf>
    <xf numFmtId="0" fontId="10" fillId="12" borderId="2" xfId="0" applyFont="1" applyFill="1" applyBorder="1" applyAlignment="1">
      <alignment horizontal="center" vertical="center"/>
    </xf>
    <xf numFmtId="0" fontId="4" fillId="13" borderId="2" xfId="0" applyFont="1" applyFill="1" applyBorder="1" applyAlignment="1">
      <alignment horizontal="center" vertical="center" wrapText="1"/>
    </xf>
    <xf numFmtId="0" fontId="5" fillId="12" borderId="2" xfId="0" applyFont="1" applyFill="1" applyBorder="1" applyAlignment="1">
      <alignment vertical="center" wrapText="1"/>
    </xf>
    <xf numFmtId="0" fontId="6" fillId="12" borderId="2" xfId="0" applyFont="1" applyFill="1" applyBorder="1" applyAlignment="1">
      <alignment vertical="center"/>
    </xf>
    <xf numFmtId="0" fontId="6" fillId="12" borderId="2" xfId="0" applyFont="1" applyFill="1" applyBorder="1" applyAlignment="1">
      <alignment horizontal="center" vertical="center"/>
    </xf>
    <xf numFmtId="0" fontId="7" fillId="12" borderId="2" xfId="0" applyFont="1" applyFill="1" applyBorder="1" applyAlignment="1">
      <alignment vertical="center" wrapText="1"/>
    </xf>
    <xf numFmtId="0" fontId="10" fillId="7" borderId="2" xfId="0" applyFont="1" applyFill="1" applyBorder="1" applyAlignment="1">
      <alignment horizontal="center" vertical="center"/>
    </xf>
    <xf numFmtId="0" fontId="11" fillId="7" borderId="2" xfId="0" applyFont="1" applyFill="1" applyBorder="1" applyAlignment="1">
      <alignment horizontal="center" vertical="center"/>
    </xf>
    <xf numFmtId="0" fontId="4" fillId="14" borderId="2" xfId="0" applyFont="1" applyFill="1" applyBorder="1" applyAlignment="1">
      <alignment horizontal="center" vertical="center" wrapText="1"/>
    </xf>
    <xf numFmtId="0" fontId="11" fillId="15" borderId="2" xfId="0" applyFont="1" applyFill="1" applyBorder="1" applyAlignment="1">
      <alignment horizontal="center" vertical="center"/>
    </xf>
    <xf numFmtId="0" fontId="5" fillId="15" borderId="2" xfId="0" applyFont="1" applyFill="1" applyBorder="1" applyAlignment="1">
      <alignment vertical="center" wrapText="1"/>
    </xf>
    <xf numFmtId="0" fontId="6" fillId="15" borderId="2" xfId="0" applyFont="1" applyFill="1" applyBorder="1" applyAlignment="1">
      <alignment vertical="center"/>
    </xf>
    <xf numFmtId="0" fontId="6" fillId="15" borderId="2" xfId="0" applyFont="1" applyFill="1" applyBorder="1" applyAlignment="1">
      <alignment horizontal="center" vertical="center"/>
    </xf>
    <xf numFmtId="0" fontId="7" fillId="15" borderId="2" xfId="0" applyFont="1" applyFill="1" applyBorder="1" applyAlignment="1">
      <alignment vertical="center" wrapText="1"/>
    </xf>
    <xf numFmtId="0" fontId="2" fillId="5" borderId="2" xfId="0" applyFont="1" applyFill="1" applyBorder="1" applyAlignment="1">
      <alignment vertical="center" indent="1"/>
    </xf>
    <xf numFmtId="0" fontId="13" fillId="15" borderId="2" xfId="0" applyFont="1" applyFill="1" applyBorder="1" applyAlignment="1">
      <alignment horizontal="center" vertical="center"/>
    </xf>
    <xf numFmtId="0" fontId="14" fillId="16" borderId="2" xfId="0" applyFont="1" applyFill="1" applyBorder="1" applyAlignment="1">
      <alignment horizontal="center" vertical="center"/>
    </xf>
    <xf numFmtId="0" fontId="15" fillId="6" borderId="2" xfId="0" applyFont="1" applyFill="1" applyBorder="1" applyAlignment="1">
      <alignment horizontal="center" vertical="center"/>
    </xf>
    <xf numFmtId="0" fontId="16" fillId="17" borderId="2" xfId="0" applyFont="1" applyFill="1" applyBorder="1" applyAlignment="1">
      <alignment horizontal="center" vertical="center"/>
    </xf>
    <xf numFmtId="0" fontId="2" fillId="9" borderId="2" xfId="0" applyFont="1" applyFill="1" applyBorder="1" applyAlignment="1">
      <alignment vertical="center" indent="1"/>
    </xf>
    <xf numFmtId="0" fontId="2" fillId="11" borderId="2" xfId="0" applyFont="1" applyFill="1" applyBorder="1" applyAlignment="1">
      <alignment vertical="center" indent="1"/>
    </xf>
    <xf numFmtId="0" fontId="2" fillId="13" borderId="2" xfId="0" applyFont="1" applyFill="1" applyBorder="1" applyAlignment="1">
      <alignment vertical="center" indent="1"/>
    </xf>
    <xf numFmtId="0" fontId="2" fillId="14" borderId="2" xfId="0" applyFont="1" applyFill="1" applyBorder="1" applyAlignment="1">
      <alignment vertical="center" indent="1"/>
    </xf>
    <xf numFmtId="0" fontId="2" fillId="2" borderId="1" xfId="0" applyFont="1" applyFill="1" applyBorder="1" applyAlignment="1">
      <alignment vertical="center" indent="1"/>
    </xf>
    <xf numFmtId="0" fontId="17" fillId="2" borderId="1" xfId="0" applyFont="1" applyFill="1" applyBorder="1" applyAlignment="1">
      <alignment horizontal="center" vertical="center"/>
    </xf>
    <xf numFmtId="9" fontId="18" fillId="18" borderId="2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3">
    <dxf>
      <font>
        <b/>
        <color rgb="FFC0392B"/>
      </font>
      <fill>
        <patternFill>
          <bgColor rgb="FFFADBD8"/>
        </patternFill>
      </fill>
    </dxf>
    <dxf>
      <font>
        <b/>
        <color rgb="FFE67E22"/>
      </font>
      <fill>
        <patternFill>
          <bgColor rgb="FFFEF9E7"/>
        </patternFill>
      </fill>
    </dxf>
    <dxf>
      <font>
        <b/>
        <color rgb="FF27AE60"/>
      </font>
      <fill>
        <patternFill>
          <bgColor rgb="FFD5F5E3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EF9E7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0C4DE"/>
      <rgbColor rgb="FF808080"/>
      <rgbColor rgb="FF9999FF"/>
      <rgbColor rgb="FF8E44AD"/>
      <rgbColor rgb="FFFFF9E6"/>
      <rgbColor rgb="FFD1F2EB"/>
      <rgbColor rgb="FF660066"/>
      <rgbColor rgb="FFFF8080"/>
      <rgbColor rgb="FF0066CC"/>
      <rgbColor rgb="FFE8DAE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6EAF8"/>
      <rgbColor rgb="FFD5F5E3"/>
      <rgbColor rgb="FFFDEBD0"/>
      <rgbColor rgb="FFD6E4F0"/>
      <rgbColor rgb="FFF2F2F2"/>
      <rgbColor rgb="FFCC99FF"/>
      <rgbColor rgb="FFFADBD8"/>
      <rgbColor rgb="FF2E75B6"/>
      <rgbColor rgb="FF1ABC9C"/>
      <rgbColor rgb="FF99CC00"/>
      <rgbColor rgb="FFFFCC00"/>
      <rgbColor rgb="FFFF9900"/>
      <rgbColor rgb="FFE67E22"/>
      <rgbColor rgb="FF666666"/>
      <rgbColor rgb="FF969696"/>
      <rgbColor rgb="FF1F3763"/>
      <rgbColor rgb="FF27AE60"/>
      <rgbColor rgb="FF003300"/>
      <rgbColor rgb="FF555555"/>
      <rgbColor rgb="FFC0392B"/>
      <rgbColor rgb="FF993366"/>
      <rgbColor rgb="FF2F5496"/>
      <rgbColor rgb="FF1A1A2E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9"/>
  <sheetViews>
    <sheetView showGridLines="0" tabSelected="1" zoomScaleNormal="100" workbookViewId="0">
      <pane ySplit="4" topLeftCell="A7" activePane="bottomLeft" state="frozen"/>
      <selection pane="bottomLeft" activeCell="E6" sqref="E6"/>
    </sheetView>
  </sheetViews>
  <sheetFormatPr baseColWidth="10" defaultColWidth="8.7109375" defaultRowHeight="15" x14ac:dyDescent="0.25"/>
  <cols>
    <col min="1" max="1" width="6" customWidth="1"/>
    <col min="2" max="2" width="22" customWidth="1"/>
    <col min="3" max="3" width="52" customWidth="1"/>
    <col min="4" max="4" width="18" customWidth="1"/>
    <col min="5" max="5" width="22" customWidth="1"/>
    <col min="6" max="6" width="14" customWidth="1"/>
    <col min="7" max="7" width="32" customWidth="1"/>
  </cols>
  <sheetData>
    <row r="1" spans="1:7" ht="13.5" customHeight="1" x14ac:dyDescent="0.25">
      <c r="A1" s="6"/>
      <c r="B1" s="6"/>
      <c r="C1" s="6"/>
      <c r="D1" s="6"/>
      <c r="E1" s="6"/>
      <c r="F1" s="6"/>
      <c r="G1" s="6"/>
    </row>
    <row r="2" spans="1:7" ht="36" customHeight="1" x14ac:dyDescent="0.25">
      <c r="A2" s="5" t="s">
        <v>0</v>
      </c>
      <c r="B2" s="5"/>
      <c r="C2" s="5"/>
      <c r="D2" s="5"/>
      <c r="E2" s="5"/>
      <c r="F2" s="5"/>
      <c r="G2" s="5"/>
    </row>
    <row r="3" spans="1:7" ht="13.5" customHeight="1" x14ac:dyDescent="0.25">
      <c r="A3" s="6"/>
      <c r="B3" s="6"/>
      <c r="C3" s="6"/>
      <c r="D3" s="6"/>
      <c r="E3" s="6"/>
      <c r="F3" s="6"/>
      <c r="G3" s="6"/>
    </row>
    <row r="4" spans="1:7" ht="27.75" customHeight="1" x14ac:dyDescent="0.25">
      <c r="A4" s="7" t="s">
        <v>1</v>
      </c>
      <c r="B4" s="7" t="s">
        <v>2</v>
      </c>
      <c r="C4" s="7" t="s">
        <v>3</v>
      </c>
      <c r="D4" s="7" t="s">
        <v>4</v>
      </c>
      <c r="E4" s="7" t="s">
        <v>5</v>
      </c>
      <c r="F4" s="7" t="s">
        <v>6</v>
      </c>
      <c r="G4" s="7" t="s">
        <v>7</v>
      </c>
    </row>
    <row r="5" spans="1:7" ht="36" customHeight="1" x14ac:dyDescent="0.25">
      <c r="A5" s="8" t="s">
        <v>8</v>
      </c>
      <c r="B5" s="9" t="s">
        <v>9</v>
      </c>
      <c r="C5" s="10" t="s">
        <v>10</v>
      </c>
      <c r="D5" s="11" t="s">
        <v>11</v>
      </c>
      <c r="E5" s="12"/>
      <c r="F5" s="13"/>
      <c r="G5" s="14"/>
    </row>
    <row r="6" spans="1:7" ht="36" customHeight="1" x14ac:dyDescent="0.25">
      <c r="A6" s="15" t="s">
        <v>12</v>
      </c>
      <c r="B6" s="9" t="s">
        <v>9</v>
      </c>
      <c r="C6" s="16" t="s">
        <v>13</v>
      </c>
      <c r="D6" s="11" t="s">
        <v>11</v>
      </c>
      <c r="E6" s="17"/>
      <c r="F6" s="18"/>
      <c r="G6" s="19"/>
    </row>
    <row r="7" spans="1:7" ht="36" customHeight="1" x14ac:dyDescent="0.25">
      <c r="A7" s="8" t="s">
        <v>14</v>
      </c>
      <c r="B7" s="9" t="s">
        <v>9</v>
      </c>
      <c r="C7" s="10" t="s">
        <v>15</v>
      </c>
      <c r="D7" s="11" t="s">
        <v>11</v>
      </c>
      <c r="E7" s="12"/>
      <c r="F7" s="13"/>
      <c r="G7" s="14"/>
    </row>
    <row r="8" spans="1:7" ht="36" customHeight="1" x14ac:dyDescent="0.25">
      <c r="A8" s="15" t="s">
        <v>16</v>
      </c>
      <c r="B8" s="9" t="s">
        <v>9</v>
      </c>
      <c r="C8" s="16" t="s">
        <v>17</v>
      </c>
      <c r="D8" s="11" t="s">
        <v>11</v>
      </c>
      <c r="E8" s="17"/>
      <c r="F8" s="18"/>
      <c r="G8" s="19"/>
    </row>
    <row r="9" spans="1:7" ht="36" customHeight="1" x14ac:dyDescent="0.25">
      <c r="A9" s="8" t="s">
        <v>18</v>
      </c>
      <c r="B9" s="9" t="s">
        <v>9</v>
      </c>
      <c r="C9" s="10" t="s">
        <v>19</v>
      </c>
      <c r="D9" s="11" t="s">
        <v>11</v>
      </c>
      <c r="E9" s="12"/>
      <c r="F9" s="13"/>
      <c r="G9" s="14"/>
    </row>
    <row r="10" spans="1:7" ht="36" customHeight="1" x14ac:dyDescent="0.25">
      <c r="A10" s="15" t="s">
        <v>20</v>
      </c>
      <c r="B10" s="9" t="s">
        <v>9</v>
      </c>
      <c r="C10" s="16" t="s">
        <v>21</v>
      </c>
      <c r="D10" s="11" t="s">
        <v>11</v>
      </c>
      <c r="E10" s="17"/>
      <c r="F10" s="18"/>
      <c r="G10" s="19"/>
    </row>
    <row r="11" spans="1:7" ht="36" customHeight="1" x14ac:dyDescent="0.25">
      <c r="A11" s="8" t="s">
        <v>22</v>
      </c>
      <c r="B11" s="9" t="s">
        <v>9</v>
      </c>
      <c r="C11" s="10" t="s">
        <v>23</v>
      </c>
      <c r="D11" s="11" t="s">
        <v>11</v>
      </c>
      <c r="E11" s="12"/>
      <c r="F11" s="13"/>
      <c r="G11" s="14"/>
    </row>
    <row r="12" spans="1:7" ht="36" customHeight="1" x14ac:dyDescent="0.25">
      <c r="A12" s="15" t="s">
        <v>24</v>
      </c>
      <c r="B12" s="9" t="s">
        <v>9</v>
      </c>
      <c r="C12" s="16" t="s">
        <v>25</v>
      </c>
      <c r="D12" s="11" t="s">
        <v>11</v>
      </c>
      <c r="E12" s="17"/>
      <c r="F12" s="18"/>
      <c r="G12" s="19"/>
    </row>
    <row r="13" spans="1:7" ht="36" customHeight="1" x14ac:dyDescent="0.25">
      <c r="A13" s="20" t="s">
        <v>26</v>
      </c>
      <c r="B13" s="21" t="s">
        <v>27</v>
      </c>
      <c r="C13" s="22" t="s">
        <v>28</v>
      </c>
      <c r="D13" s="11" t="s">
        <v>11</v>
      </c>
      <c r="E13" s="23"/>
      <c r="F13" s="24"/>
      <c r="G13" s="25"/>
    </row>
    <row r="14" spans="1:7" ht="36" customHeight="1" x14ac:dyDescent="0.25">
      <c r="A14" s="26" t="s">
        <v>29</v>
      </c>
      <c r="B14" s="21" t="s">
        <v>27</v>
      </c>
      <c r="C14" s="16" t="s">
        <v>30</v>
      </c>
      <c r="D14" s="11" t="s">
        <v>11</v>
      </c>
      <c r="E14" s="17"/>
      <c r="F14" s="18"/>
      <c r="G14" s="19"/>
    </row>
    <row r="15" spans="1:7" ht="36" customHeight="1" x14ac:dyDescent="0.25">
      <c r="A15" s="20" t="s">
        <v>31</v>
      </c>
      <c r="B15" s="21" t="s">
        <v>27</v>
      </c>
      <c r="C15" s="22" t="s">
        <v>32</v>
      </c>
      <c r="D15" s="11" t="s">
        <v>11</v>
      </c>
      <c r="E15" s="23"/>
      <c r="F15" s="24"/>
      <c r="G15" s="25"/>
    </row>
    <row r="16" spans="1:7" ht="36" customHeight="1" x14ac:dyDescent="0.25">
      <c r="A16" s="26" t="s">
        <v>33</v>
      </c>
      <c r="B16" s="21" t="s">
        <v>27</v>
      </c>
      <c r="C16" s="16" t="s">
        <v>34</v>
      </c>
      <c r="D16" s="11" t="s">
        <v>11</v>
      </c>
      <c r="E16" s="17"/>
      <c r="F16" s="18"/>
      <c r="G16" s="19"/>
    </row>
    <row r="17" spans="1:7" ht="36" customHeight="1" x14ac:dyDescent="0.25">
      <c r="A17" s="20" t="s">
        <v>35</v>
      </c>
      <c r="B17" s="21" t="s">
        <v>27</v>
      </c>
      <c r="C17" s="22" t="s">
        <v>36</v>
      </c>
      <c r="D17" s="11" t="s">
        <v>11</v>
      </c>
      <c r="E17" s="23"/>
      <c r="F17" s="24"/>
      <c r="G17" s="25"/>
    </row>
    <row r="18" spans="1:7" ht="36" customHeight="1" x14ac:dyDescent="0.25">
      <c r="A18" s="26" t="s">
        <v>37</v>
      </c>
      <c r="B18" s="21" t="s">
        <v>27</v>
      </c>
      <c r="C18" s="16" t="s">
        <v>38</v>
      </c>
      <c r="D18" s="11" t="s">
        <v>11</v>
      </c>
      <c r="E18" s="17"/>
      <c r="F18" s="18"/>
      <c r="G18" s="19"/>
    </row>
    <row r="19" spans="1:7" ht="36" customHeight="1" x14ac:dyDescent="0.25">
      <c r="A19" s="20" t="s">
        <v>39</v>
      </c>
      <c r="B19" s="21" t="s">
        <v>27</v>
      </c>
      <c r="C19" s="22" t="s">
        <v>40</v>
      </c>
      <c r="D19" s="11" t="s">
        <v>11</v>
      </c>
      <c r="E19" s="23"/>
      <c r="F19" s="24"/>
      <c r="G19" s="25"/>
    </row>
    <row r="20" spans="1:7" ht="36" customHeight="1" x14ac:dyDescent="0.25">
      <c r="A20" s="26" t="s">
        <v>41</v>
      </c>
      <c r="B20" s="21" t="s">
        <v>27</v>
      </c>
      <c r="C20" s="16" t="s">
        <v>42</v>
      </c>
      <c r="D20" s="11" t="s">
        <v>11</v>
      </c>
      <c r="E20" s="17"/>
      <c r="F20" s="18"/>
      <c r="G20" s="19"/>
    </row>
    <row r="21" spans="1:7" ht="36" customHeight="1" x14ac:dyDescent="0.25">
      <c r="A21" s="20" t="s">
        <v>43</v>
      </c>
      <c r="B21" s="21" t="s">
        <v>27</v>
      </c>
      <c r="C21" s="22" t="s">
        <v>44</v>
      </c>
      <c r="D21" s="11" t="s">
        <v>11</v>
      </c>
      <c r="E21" s="23"/>
      <c r="F21" s="24"/>
      <c r="G21" s="25"/>
    </row>
    <row r="22" spans="1:7" ht="36" customHeight="1" x14ac:dyDescent="0.25">
      <c r="A22" s="26" t="s">
        <v>45</v>
      </c>
      <c r="B22" s="21" t="s">
        <v>27</v>
      </c>
      <c r="C22" s="16" t="s">
        <v>46</v>
      </c>
      <c r="D22" s="11" t="s">
        <v>11</v>
      </c>
      <c r="E22" s="17"/>
      <c r="F22" s="18"/>
      <c r="G22" s="19"/>
    </row>
    <row r="23" spans="1:7" ht="36" customHeight="1" x14ac:dyDescent="0.25">
      <c r="A23" s="27" t="s">
        <v>47</v>
      </c>
      <c r="B23" s="28" t="s">
        <v>48</v>
      </c>
      <c r="C23" s="29" t="s">
        <v>49</v>
      </c>
      <c r="D23" s="11" t="s">
        <v>11</v>
      </c>
      <c r="E23" s="30"/>
      <c r="F23" s="31"/>
      <c r="G23" s="32"/>
    </row>
    <row r="24" spans="1:7" ht="36" customHeight="1" x14ac:dyDescent="0.25">
      <c r="A24" s="33" t="s">
        <v>50</v>
      </c>
      <c r="B24" s="28" t="s">
        <v>48</v>
      </c>
      <c r="C24" s="16" t="s">
        <v>51</v>
      </c>
      <c r="D24" s="11" t="s">
        <v>11</v>
      </c>
      <c r="E24" s="17"/>
      <c r="F24" s="18"/>
      <c r="G24" s="19"/>
    </row>
    <row r="25" spans="1:7" ht="36" customHeight="1" x14ac:dyDescent="0.25">
      <c r="A25" s="27" t="s">
        <v>52</v>
      </c>
      <c r="B25" s="28" t="s">
        <v>48</v>
      </c>
      <c r="C25" s="29" t="s">
        <v>53</v>
      </c>
      <c r="D25" s="11" t="s">
        <v>11</v>
      </c>
      <c r="E25" s="30"/>
      <c r="F25" s="31"/>
      <c r="G25" s="32"/>
    </row>
    <row r="26" spans="1:7" ht="36" customHeight="1" x14ac:dyDescent="0.25">
      <c r="A26" s="33" t="s">
        <v>54</v>
      </c>
      <c r="B26" s="28" t="s">
        <v>48</v>
      </c>
      <c r="C26" s="16" t="s">
        <v>55</v>
      </c>
      <c r="D26" s="11" t="s">
        <v>11</v>
      </c>
      <c r="E26" s="17"/>
      <c r="F26" s="18"/>
      <c r="G26" s="19"/>
    </row>
    <row r="27" spans="1:7" ht="36" customHeight="1" x14ac:dyDescent="0.25">
      <c r="A27" s="27" t="s">
        <v>56</v>
      </c>
      <c r="B27" s="28" t="s">
        <v>48</v>
      </c>
      <c r="C27" s="29" t="s">
        <v>57</v>
      </c>
      <c r="D27" s="11" t="s">
        <v>11</v>
      </c>
      <c r="E27" s="30"/>
      <c r="F27" s="31"/>
      <c r="G27" s="32"/>
    </row>
    <row r="28" spans="1:7" ht="36" customHeight="1" x14ac:dyDescent="0.25">
      <c r="A28" s="33" t="s">
        <v>58</v>
      </c>
      <c r="B28" s="28" t="s">
        <v>48</v>
      </c>
      <c r="C28" s="16" t="s">
        <v>59</v>
      </c>
      <c r="D28" s="11" t="s">
        <v>11</v>
      </c>
      <c r="E28" s="17"/>
      <c r="F28" s="18"/>
      <c r="G28" s="19"/>
    </row>
    <row r="29" spans="1:7" ht="36" customHeight="1" x14ac:dyDescent="0.25">
      <c r="A29" s="34" t="s">
        <v>60</v>
      </c>
      <c r="B29" s="35" t="s">
        <v>61</v>
      </c>
      <c r="C29" s="36" t="s">
        <v>62</v>
      </c>
      <c r="D29" s="11" t="s">
        <v>11</v>
      </c>
      <c r="E29" s="37"/>
      <c r="F29" s="38"/>
      <c r="G29" s="39"/>
    </row>
    <row r="30" spans="1:7" ht="36" customHeight="1" x14ac:dyDescent="0.25">
      <c r="A30" s="40" t="s">
        <v>63</v>
      </c>
      <c r="B30" s="35" t="s">
        <v>61</v>
      </c>
      <c r="C30" s="16" t="s">
        <v>64</v>
      </c>
      <c r="D30" s="11" t="s">
        <v>11</v>
      </c>
      <c r="E30" s="17"/>
      <c r="F30" s="18"/>
      <c r="G30" s="19"/>
    </row>
    <row r="31" spans="1:7" ht="36" customHeight="1" x14ac:dyDescent="0.25">
      <c r="A31" s="34" t="s">
        <v>65</v>
      </c>
      <c r="B31" s="35" t="s">
        <v>61</v>
      </c>
      <c r="C31" s="36" t="s">
        <v>66</v>
      </c>
      <c r="D31" s="11" t="s">
        <v>11</v>
      </c>
      <c r="E31" s="37"/>
      <c r="F31" s="38"/>
      <c r="G31" s="39"/>
    </row>
    <row r="32" spans="1:7" ht="36" customHeight="1" x14ac:dyDescent="0.25">
      <c r="A32" s="40" t="s">
        <v>67</v>
      </c>
      <c r="B32" s="35" t="s">
        <v>61</v>
      </c>
      <c r="C32" s="16" t="s">
        <v>68</v>
      </c>
      <c r="D32" s="11" t="s">
        <v>11</v>
      </c>
      <c r="E32" s="17"/>
      <c r="F32" s="18"/>
      <c r="G32" s="19"/>
    </row>
    <row r="33" spans="1:7" ht="36" customHeight="1" x14ac:dyDescent="0.25">
      <c r="A33" s="34" t="s">
        <v>69</v>
      </c>
      <c r="B33" s="35" t="s">
        <v>61</v>
      </c>
      <c r="C33" s="36" t="s">
        <v>70</v>
      </c>
      <c r="D33" s="11" t="s">
        <v>11</v>
      </c>
      <c r="E33" s="37"/>
      <c r="F33" s="38"/>
      <c r="G33" s="39"/>
    </row>
    <row r="34" spans="1:7" ht="36" customHeight="1" x14ac:dyDescent="0.25">
      <c r="A34" s="41" t="s">
        <v>71</v>
      </c>
      <c r="B34" s="42" t="s">
        <v>72</v>
      </c>
      <c r="C34" s="16" t="s">
        <v>73</v>
      </c>
      <c r="D34" s="11" t="s">
        <v>11</v>
      </c>
      <c r="E34" s="17"/>
      <c r="F34" s="18"/>
      <c r="G34" s="19"/>
    </row>
    <row r="35" spans="1:7" ht="36" customHeight="1" x14ac:dyDescent="0.25">
      <c r="A35" s="43" t="s">
        <v>74</v>
      </c>
      <c r="B35" s="42" t="s">
        <v>72</v>
      </c>
      <c r="C35" s="44" t="s">
        <v>75</v>
      </c>
      <c r="D35" s="11" t="s">
        <v>11</v>
      </c>
      <c r="E35" s="45"/>
      <c r="F35" s="46"/>
      <c r="G35" s="47"/>
    </row>
    <row r="36" spans="1:7" ht="36" customHeight="1" x14ac:dyDescent="0.25">
      <c r="A36" s="41" t="s">
        <v>76</v>
      </c>
      <c r="B36" s="42" t="s">
        <v>72</v>
      </c>
      <c r="C36" s="16" t="s">
        <v>77</v>
      </c>
      <c r="D36" s="11" t="s">
        <v>11</v>
      </c>
      <c r="E36" s="17"/>
      <c r="F36" s="18"/>
      <c r="G36" s="19"/>
    </row>
    <row r="37" spans="1:7" ht="36" customHeight="1" x14ac:dyDescent="0.25">
      <c r="A37" s="43" t="s">
        <v>78</v>
      </c>
      <c r="B37" s="42" t="s">
        <v>72</v>
      </c>
      <c r="C37" s="44" t="s">
        <v>79</v>
      </c>
      <c r="D37" s="11" t="s">
        <v>11</v>
      </c>
      <c r="E37" s="45"/>
      <c r="F37" s="46"/>
      <c r="G37" s="47"/>
    </row>
    <row r="38" spans="1:7" ht="36" customHeight="1" x14ac:dyDescent="0.25">
      <c r="A38" s="41" t="s">
        <v>80</v>
      </c>
      <c r="B38" s="42" t="s">
        <v>72</v>
      </c>
      <c r="C38" s="16" t="s">
        <v>81</v>
      </c>
      <c r="D38" s="11" t="s">
        <v>11</v>
      </c>
      <c r="E38" s="17"/>
      <c r="F38" s="18"/>
      <c r="G38" s="19"/>
    </row>
    <row r="39" spans="1:7" ht="36" customHeight="1" x14ac:dyDescent="0.25">
      <c r="A39" s="43" t="s">
        <v>82</v>
      </c>
      <c r="B39" s="42" t="s">
        <v>72</v>
      </c>
      <c r="C39" s="44" t="s">
        <v>83</v>
      </c>
      <c r="D39" s="11" t="s">
        <v>11</v>
      </c>
      <c r="E39" s="45"/>
      <c r="F39" s="46"/>
      <c r="G39" s="47"/>
    </row>
  </sheetData>
  <mergeCells count="1">
    <mergeCell ref="A2:G2"/>
  </mergeCells>
  <conditionalFormatting sqref="D5:D39">
    <cfRule type="expression" dxfId="2" priority="2">
      <formula>D5="✅ Implementado"</formula>
    </cfRule>
    <cfRule type="expression" dxfId="1" priority="3">
      <formula>D5="⚠️ En progreso"</formula>
    </cfRule>
    <cfRule type="expression" dxfId="0" priority="4">
      <formula>D5="❌ Pendiente"</formula>
    </cfRule>
  </conditionalFormatting>
  <dataValidations count="1">
    <dataValidation type="list" allowBlank="1" sqref="D5:D39" xr:uid="{00000000-0002-0000-0000-000000000000}">
      <formula1>"✅ Implementado,⚠️ En progreso,❌ Pendiente,➖ No aplica"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F29"/>
  <sheetViews>
    <sheetView showGridLines="0" zoomScaleNormal="100" workbookViewId="0"/>
  </sheetViews>
  <sheetFormatPr baseColWidth="10" defaultColWidth="8.7109375" defaultRowHeight="15" x14ac:dyDescent="0.25"/>
  <cols>
    <col min="1" max="1" width="4" customWidth="1"/>
    <col min="2" max="2" width="28" customWidth="1"/>
    <col min="3" max="6" width="16" customWidth="1"/>
    <col min="7" max="7" width="4" customWidth="1"/>
  </cols>
  <sheetData>
    <row r="1" spans="2:6" ht="21.75" customHeight="1" x14ac:dyDescent="0.25"/>
    <row r="2" spans="2:6" ht="36" customHeight="1" x14ac:dyDescent="0.25">
      <c r="B2" s="4" t="s">
        <v>84</v>
      </c>
      <c r="C2" s="4"/>
      <c r="D2" s="4"/>
      <c r="E2" s="4"/>
      <c r="F2" s="4"/>
    </row>
    <row r="3" spans="2:6" ht="21.75" customHeight="1" x14ac:dyDescent="0.25">
      <c r="B3" s="3"/>
      <c r="C3" s="3"/>
      <c r="D3" s="3"/>
      <c r="E3" s="3"/>
      <c r="F3" s="3"/>
    </row>
    <row r="4" spans="2:6" ht="21.75" customHeight="1" x14ac:dyDescent="0.25"/>
    <row r="5" spans="2:6" ht="30" customHeight="1" x14ac:dyDescent="0.25">
      <c r="B5" s="7" t="s">
        <v>2</v>
      </c>
      <c r="C5" s="7" t="s">
        <v>85</v>
      </c>
      <c r="D5" s="7" t="s">
        <v>86</v>
      </c>
      <c r="E5" s="7" t="s">
        <v>11</v>
      </c>
      <c r="F5" s="7" t="s">
        <v>87</v>
      </c>
    </row>
    <row r="6" spans="2:6" ht="25.5" customHeight="1" x14ac:dyDescent="0.25">
      <c r="B6" s="48" t="s">
        <v>9</v>
      </c>
      <c r="C6" s="49">
        <f>COUNTIF('Checklist Cap. 13'!D5:D12,"✅ Implementado")</f>
        <v>0</v>
      </c>
      <c r="D6" s="50">
        <f>COUNTIF('Checklist Cap. 13'!D5:D12,"⚠️ En progreso")</f>
        <v>0</v>
      </c>
      <c r="E6" s="51">
        <f>COUNTIF('Checklist Cap. 13'!D5:D12,"❌ Pendiente")</f>
        <v>8</v>
      </c>
      <c r="F6" s="52">
        <v>8</v>
      </c>
    </row>
    <row r="7" spans="2:6" ht="25.5" customHeight="1" x14ac:dyDescent="0.25">
      <c r="B7" s="53" t="s">
        <v>27</v>
      </c>
      <c r="C7" s="49">
        <f>COUNTIF('Checklist Cap. 13'!D13:D22,"✅ Implementado")</f>
        <v>0</v>
      </c>
      <c r="D7" s="50">
        <f>COUNTIF('Checklist Cap. 13'!D13:D22,"⚠️ En progreso")</f>
        <v>0</v>
      </c>
      <c r="E7" s="51">
        <f>COUNTIF('Checklist Cap. 13'!D13:D22,"❌ Pendiente")</f>
        <v>10</v>
      </c>
      <c r="F7" s="52">
        <v>10</v>
      </c>
    </row>
    <row r="8" spans="2:6" ht="25.5" customHeight="1" x14ac:dyDescent="0.25">
      <c r="B8" s="54" t="s">
        <v>48</v>
      </c>
      <c r="C8" s="49">
        <f>COUNTIF('Checklist Cap. 13'!D23:D28,"✅ Implementado")</f>
        <v>0</v>
      </c>
      <c r="D8" s="50">
        <f>COUNTIF('Checklist Cap. 13'!D23:D28,"⚠️ En progreso")</f>
        <v>0</v>
      </c>
      <c r="E8" s="51">
        <f>COUNTIF('Checklist Cap. 13'!D23:D28,"❌ Pendiente")</f>
        <v>6</v>
      </c>
      <c r="F8" s="52">
        <v>6</v>
      </c>
    </row>
    <row r="9" spans="2:6" ht="25.5" customHeight="1" x14ac:dyDescent="0.25">
      <c r="B9" s="55" t="s">
        <v>61</v>
      </c>
      <c r="C9" s="49">
        <f>COUNTIF('Checklist Cap. 13'!D29:D33,"✅ Implementado")</f>
        <v>0</v>
      </c>
      <c r="D9" s="50">
        <f>COUNTIF('Checklist Cap. 13'!D29:D33,"⚠️ En progreso")</f>
        <v>0</v>
      </c>
      <c r="E9" s="51">
        <f>COUNTIF('Checklist Cap. 13'!D29:D33,"❌ Pendiente")</f>
        <v>5</v>
      </c>
      <c r="F9" s="52">
        <v>5</v>
      </c>
    </row>
    <row r="10" spans="2:6" ht="25.5" customHeight="1" x14ac:dyDescent="0.25">
      <c r="B10" s="56" t="s">
        <v>72</v>
      </c>
      <c r="C10" s="49">
        <f>COUNTIF('Checklist Cap. 13'!D34:D39,"✅ Implementado")</f>
        <v>0</v>
      </c>
      <c r="D10" s="50">
        <f>COUNTIF('Checklist Cap. 13'!D34:D39,"⚠️ En progreso")</f>
        <v>0</v>
      </c>
      <c r="E10" s="51">
        <f>COUNTIF('Checklist Cap. 13'!D34:D39,"❌ Pendiente")</f>
        <v>6</v>
      </c>
      <c r="F10" s="52">
        <v>6</v>
      </c>
    </row>
    <row r="11" spans="2:6" ht="21.75" customHeight="1" x14ac:dyDescent="0.25"/>
    <row r="12" spans="2:6" ht="27.75" customHeight="1" x14ac:dyDescent="0.25">
      <c r="B12" s="57" t="s">
        <v>88</v>
      </c>
      <c r="C12" s="58">
        <f>SUM(C6:C11)</f>
        <v>0</v>
      </c>
      <c r="D12" s="58">
        <f>SUM(D6:D11)</f>
        <v>0</v>
      </c>
      <c r="E12" s="58">
        <f>SUM(E6:E11)</f>
        <v>35</v>
      </c>
      <c r="F12" s="58">
        <f>SUM(F6:F11)</f>
        <v>35</v>
      </c>
    </row>
    <row r="13" spans="2:6" ht="21.75" customHeight="1" x14ac:dyDescent="0.25"/>
    <row r="14" spans="2:6" ht="30" customHeight="1" x14ac:dyDescent="0.25">
      <c r="B14" s="2" t="s">
        <v>89</v>
      </c>
      <c r="C14" s="2"/>
      <c r="D14" s="59">
        <f>IFERROR(C12/F12,0)</f>
        <v>0</v>
      </c>
    </row>
    <row r="15" spans="2:6" ht="21.75" customHeight="1" x14ac:dyDescent="0.25"/>
    <row r="16" spans="2:6" ht="19.5" customHeight="1" x14ac:dyDescent="0.25">
      <c r="B16" s="1" t="s">
        <v>90</v>
      </c>
      <c r="C16" s="1"/>
      <c r="D16" s="1"/>
      <c r="E16" s="1"/>
      <c r="F16" s="1"/>
    </row>
    <row r="17" spans="2:6" ht="19.5" customHeight="1" x14ac:dyDescent="0.25">
      <c r="B17" s="1"/>
      <c r="C17" s="1"/>
      <c r="D17" s="1"/>
      <c r="E17" s="1"/>
      <c r="F17" s="1"/>
    </row>
    <row r="18" spans="2:6" ht="21.75" customHeight="1" x14ac:dyDescent="0.25"/>
    <row r="19" spans="2:6" ht="21.75" customHeight="1" x14ac:dyDescent="0.25"/>
    <row r="20" spans="2:6" ht="21.75" customHeight="1" x14ac:dyDescent="0.25"/>
    <row r="21" spans="2:6" ht="21.75" customHeight="1" x14ac:dyDescent="0.25"/>
    <row r="22" spans="2:6" ht="21.75" customHeight="1" x14ac:dyDescent="0.25"/>
    <row r="23" spans="2:6" ht="21.75" customHeight="1" x14ac:dyDescent="0.25"/>
    <row r="24" spans="2:6" ht="21.75" customHeight="1" x14ac:dyDescent="0.25"/>
    <row r="25" spans="2:6" ht="21.75" customHeight="1" x14ac:dyDescent="0.25"/>
    <row r="26" spans="2:6" ht="21.75" customHeight="1" x14ac:dyDescent="0.25"/>
    <row r="27" spans="2:6" ht="21.75" customHeight="1" x14ac:dyDescent="0.25"/>
    <row r="28" spans="2:6" ht="21.75" customHeight="1" x14ac:dyDescent="0.25"/>
    <row r="29" spans="2:6" ht="21.75" customHeight="1" x14ac:dyDescent="0.25"/>
  </sheetData>
  <mergeCells count="4">
    <mergeCell ref="B2:F2"/>
    <mergeCell ref="B3:F3"/>
    <mergeCell ref="B14:C14"/>
    <mergeCell ref="B16:F17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Checklist Cap. 13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Mauricio Vergara</cp:lastModifiedBy>
  <cp:revision>0</cp:revision>
  <dcterms:created xsi:type="dcterms:W3CDTF">2026-04-08T20:05:27Z</dcterms:created>
  <dcterms:modified xsi:type="dcterms:W3CDTF">2026-04-08T20:46:11Z</dcterms:modified>
  <dc:language>en-US</dc:language>
</cp:coreProperties>
</file>