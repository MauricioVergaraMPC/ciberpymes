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1" documentId="11_D7BE9FF03B315B0158CE6F9BC45C1384B61D280F" xr6:coauthVersionLast="47" xr6:coauthVersionMax="47" xr10:uidLastSave="{E2B51DD1-F071-4B7B-BADF-C1A88B7C80C8}"/>
  <bookViews>
    <workbookView xWindow="32580" yWindow="2025" windowWidth="22440" windowHeight="12870" tabRatio="500" xr2:uid="{00000000-000D-0000-FFFF-FFFF00000000}"/>
  </bookViews>
  <sheets>
    <sheet name="KRIs Cloud" sheetId="1" r:id="rId1"/>
    <sheet name="Tablero Resumen" sheetId="2" r:id="rId2"/>
    <sheet name="Guía de Us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" l="1"/>
  <c r="D14" i="2"/>
  <c r="C14" i="2"/>
  <c r="B14" i="2"/>
  <c r="F14" i="2" s="1"/>
  <c r="E13" i="2"/>
  <c r="D13" i="2"/>
  <c r="C13" i="2"/>
  <c r="B13" i="2"/>
  <c r="F13" i="2" s="1"/>
  <c r="E12" i="2"/>
  <c r="D12" i="2"/>
  <c r="C12" i="2"/>
  <c r="B12" i="2"/>
  <c r="F12" i="2" s="1"/>
  <c r="E11" i="2"/>
  <c r="D11" i="2"/>
  <c r="C11" i="2"/>
  <c r="B11" i="2"/>
  <c r="F11" i="2" s="1"/>
  <c r="E10" i="2"/>
  <c r="D10" i="2"/>
  <c r="C10" i="2"/>
  <c r="B10" i="2"/>
  <c r="F10" i="2" s="1"/>
  <c r="E9" i="2"/>
  <c r="D9" i="2"/>
  <c r="C9" i="2"/>
  <c r="B9" i="2"/>
  <c r="F9" i="2" s="1"/>
  <c r="D5" i="2"/>
  <c r="C5" i="2"/>
  <c r="B5" i="2"/>
  <c r="A5" i="2"/>
  <c r="E5" i="2" s="1"/>
</calcChain>
</file>

<file path=xl/sharedStrings.xml><?xml version="1.0" encoding="utf-8"?>
<sst xmlns="http://schemas.openxmlformats.org/spreadsheetml/2006/main" count="349" uniqueCount="159">
  <si>
    <t>INDICADORES CLAVE DE RIESGO (KRI) — SERVICIOS CLOUD</t>
  </si>
  <si>
    <t>Capítulo 13 · Ciberprotección para PyMES. Guía Práctica. · Mauricio Vergara</t>
  </si>
  <si>
    <t>IDENTIFICACIÓN DEL KRI</t>
  </si>
  <si>
    <t>UMBRALES</t>
  </si>
  <si>
    <t>MEDICIÓN ACTUAL</t>
  </si>
  <si>
    <t>ESTADO</t>
  </si>
  <si>
    <t>RESPONSABLE Y FRECUENCIA</t>
  </si>
  <si>
    <t>ACCIONES</t>
  </si>
  <si>
    <t>ID</t>
  </si>
  <si>
    <t>Nombre del KRI</t>
  </si>
  <si>
    <t>Área de riesgo</t>
  </si>
  <si>
    <t>Umbral
Verde
(Aceptable)</t>
  </si>
  <si>
    <t>Umbral
Amarillo
(Alerta)</t>
  </si>
  <si>
    <t>Umbral
Rojo
(Crítico)</t>
  </si>
  <si>
    <t>Valor
Anterior</t>
  </si>
  <si>
    <t>Valor
Actual</t>
  </si>
  <si>
    <t>Tendencia
(↑ ↓ →)</t>
  </si>
  <si>
    <t>Estado
Actual</t>
  </si>
  <si>
    <t>Fecha de
Medición</t>
  </si>
  <si>
    <t>Responsable</t>
  </si>
  <si>
    <t>Frecuencia
de Medición</t>
  </si>
  <si>
    <t>Acción Requerida</t>
  </si>
  <si>
    <t>Fecha Límite
de Acción</t>
  </si>
  <si>
    <t>KRI-C01</t>
  </si>
  <si>
    <t>Buckets / contenedores con acceso público</t>
  </si>
  <si>
    <t>Configuración</t>
  </si>
  <si>
    <t>0</t>
  </si>
  <si>
    <t>1-2</t>
  </si>
  <si>
    <t>≥3</t>
  </si>
  <si>
    <t>1</t>
  </si>
  <si>
    <t>↑</t>
  </si>
  <si>
    <t>ALERTA</t>
  </si>
  <si>
    <t>2024-03-01</t>
  </si>
  <si>
    <t>Líder de TI</t>
  </si>
  <si>
    <t>Semanal</t>
  </si>
  <si>
    <t>Revisar y restringir permisos del bucket expuesto</t>
  </si>
  <si>
    <t>2024-03-08</t>
  </si>
  <si>
    <t>KRI-C02</t>
  </si>
  <si>
    <t>Servicios sin cifrado habilitado</t>
  </si>
  <si>
    <t>1-3</t>
  </si>
  <si>
    <t>≥4</t>
  </si>
  <si>
    <t>2</t>
  </si>
  <si>
    <t>→</t>
  </si>
  <si>
    <t>Mensual</t>
  </si>
  <si>
    <t>Habilitar cifrado en reposo y en tránsito</t>
  </si>
  <si>
    <t>2024-03-31</t>
  </si>
  <si>
    <t>KRI-C03</t>
  </si>
  <si>
    <t>Credenciales detectadas en código fuente</t>
  </si>
  <si>
    <t>≥2</t>
  </si>
  <si>
    <t>OK</t>
  </si>
  <si>
    <t>Líder de Desarrollo</t>
  </si>
  <si>
    <t>Ninguna acción requerida</t>
  </si>
  <si>
    <t>-</t>
  </si>
  <si>
    <t>KRI-C04</t>
  </si>
  <si>
    <t>Desviaciones de línea base de configuración</t>
  </si>
  <si>
    <t>0-2</t>
  </si>
  <si>
    <t>3-5</t>
  </si>
  <si>
    <t>≥6</t>
  </si>
  <si>
    <t>3</t>
  </si>
  <si>
    <t>4</t>
  </si>
  <si>
    <t>Remediar configuraciones fuera de línea base</t>
  </si>
  <si>
    <t>KRI-I01</t>
  </si>
  <si>
    <t>Cuentas de administrador activas</t>
  </si>
  <si>
    <t>Identidad y acceso</t>
  </si>
  <si>
    <t>3-4</t>
  </si>
  <si>
    <t>≥5</t>
  </si>
  <si>
    <t>Administrador Cloud</t>
  </si>
  <si>
    <t>Revisar necesidad de cuentas admin adicionales</t>
  </si>
  <si>
    <t>2024-03-15</t>
  </si>
  <si>
    <t>KRI-I02</t>
  </si>
  <si>
    <t>Cuentas sin MFA habilitado</t>
  </si>
  <si>
    <t>↓</t>
  </si>
  <si>
    <t>KRI-I03</t>
  </si>
  <si>
    <t>Credenciales sin rotación &gt; 90 días</t>
  </si>
  <si>
    <t>5</t>
  </si>
  <si>
    <t>Completar rotación de credenciales pendientes</t>
  </si>
  <si>
    <t>2024-03-20</t>
  </si>
  <si>
    <t>KRI-I04</t>
  </si>
  <si>
    <t>Cuentas inactivas con acceso vigente</t>
  </si>
  <si>
    <t>Deshabilitar o eliminar cuenta inactiva</t>
  </si>
  <si>
    <t>2024-03-10</t>
  </si>
  <si>
    <t>KRI-M01</t>
  </si>
  <si>
    <t>Servicios sin logging habilitado</t>
  </si>
  <si>
    <t>Monitoreo</t>
  </si>
  <si>
    <t>Habilitar logging en servicio pendiente</t>
  </si>
  <si>
    <t>KRI-M02</t>
  </si>
  <si>
    <t>Alertas de seguridad sin atender &gt; 48h</t>
  </si>
  <si>
    <t>Diaria</t>
  </si>
  <si>
    <t>Revisar y clasificar alertas pendientes</t>
  </si>
  <si>
    <t>2024-03-03</t>
  </si>
  <si>
    <t>KRI-M03</t>
  </si>
  <si>
    <t>% servicios integrados al SIEM</t>
  </si>
  <si>
    <t>≥80%</t>
  </si>
  <si>
    <t>50-79%</t>
  </si>
  <si>
    <t>&lt;50%</t>
  </si>
  <si>
    <t>60%</t>
  </si>
  <si>
    <t>65%</t>
  </si>
  <si>
    <t>Trimestral</t>
  </si>
  <si>
    <t>Planificar integración de servicios faltantes</t>
  </si>
  <si>
    <t>2024-06-30</t>
  </si>
  <si>
    <t>KRI-B01</t>
  </si>
  <si>
    <t>Servicios críticos sin política de backup</t>
  </si>
  <si>
    <t>Continuidad</t>
  </si>
  <si>
    <t>KRI-B02</t>
  </si>
  <si>
    <t>% restauraciones de prueba fallidas (trimestre)</t>
  </si>
  <si>
    <t>0%</t>
  </si>
  <si>
    <t>1-10%</t>
  </si>
  <si>
    <t>&gt;10%</t>
  </si>
  <si>
    <t>KRI-B03</t>
  </si>
  <si>
    <t>Servicios sin RTO/RPO documentado</t>
  </si>
  <si>
    <t>Documentar RTO/RPO de servicios pendientes</t>
  </si>
  <si>
    <t>KRI-G01</t>
  </si>
  <si>
    <t>Servicios cloud no registrados en inventario</t>
  </si>
  <si>
    <t>Gobierno</t>
  </si>
  <si>
    <t>Registrar servicio detectado en inventario</t>
  </si>
  <si>
    <t>KRI-G02</t>
  </si>
  <si>
    <t>Servicios 'en desuso' aún activos en consola</t>
  </si>
  <si>
    <t>Dar de baja los servicios en desuso</t>
  </si>
  <si>
    <t>KRI-G03</t>
  </si>
  <si>
    <t>Servicios sin responsable técnico asignado</t>
  </si>
  <si>
    <t>KRI-V01</t>
  </si>
  <si>
    <t>Vulnerabilidades críticas sin remediar &gt; 30 días</t>
  </si>
  <si>
    <t>Vulnerabilidades</t>
  </si>
  <si>
    <t>CRITICO</t>
  </si>
  <si>
    <t>Remediar vulnerabilidades críticas de inmediato</t>
  </si>
  <si>
    <t>KRI-V02</t>
  </si>
  <si>
    <t>Servicios ejecutando versiones fuera de soporte</t>
  </si>
  <si>
    <t>Actualizar o migrar servicio fuera de soporte</t>
  </si>
  <si>
    <t>TABLERO RESUMEN — KRIs CLOUD</t>
  </si>
  <si>
    <t>Resumen automático generado a partir de la hoja KRIs Cloud</t>
  </si>
  <si>
    <t>TOTAL KRIs</t>
  </si>
  <si>
    <t>EN OK</t>
  </si>
  <si>
    <t>EN ALERTA</t>
  </si>
  <si>
    <t>CRÍTICOS</t>
  </si>
  <si>
    <t>% Cumplimiento
(OK / Total)</t>
  </si>
  <si>
    <t>DETALLE POR ÁREA DE RIESGO</t>
  </si>
  <si>
    <t>Área de Riesgo</t>
  </si>
  <si>
    <t>Total KRIs</t>
  </si>
  <si>
    <t>Alerta</t>
  </si>
  <si>
    <t>Crítico</t>
  </si>
  <si>
    <t>% OK</t>
  </si>
  <si>
    <t>GUÍA DE USO — PLANTILLA KRIs CLOUD</t>
  </si>
  <si>
    <t>LEYENDA DE ESTADOS</t>
  </si>
  <si>
    <t>El valor medido se encuentra dentro del umbral aceptable. No requiere acción inmediata.</t>
  </si>
  <si>
    <t>El valor medido supera el umbral verde. Requiere atención y plan de acción en el corto plazo.</t>
  </si>
  <si>
    <t>El valor medido supera el umbral rojo. Requiere acción inmediata y escalamiento.</t>
  </si>
  <si>
    <t>INSTRUCCIONES DE USO</t>
  </si>
  <si>
    <t>¿Cómo registrar un nuevo KRI?</t>
  </si>
  <si>
    <t>Agrega una fila en la hoja 'KRIs Cloud'. Asigna un ID correlativo (KRI-X00), completa todos los campos y define los tres umbrales. El Tablero Resumen se actualiza automáticamente.</t>
  </si>
  <si>
    <t>¿Con qué frecuencia medir?</t>
  </si>
  <si>
    <t>Cada KRI tiene su propia frecuencia recomendada (diaria, semanal, mensual, trimestral). Actualiza el campo 'Valor Actual' y 'Fecha de Medición' cada vez que realices la medición.</t>
  </si>
  <si>
    <t>¿Cómo interpretar la tendencia?</t>
  </si>
  <si>
    <t>Usa ↑ si el valor empeoró respecto al periodo anterior, ↓ si mejoró, → si se mantuvo igual. Una tendencia ↑ en un KRI de riesgo es siempre una señal de alerta aunque el estado sea OK.</t>
  </si>
  <si>
    <t>¿Cómo definir los umbrales?</t>
  </si>
  <si>
    <t>Los umbrales deben reflejar la tolerancia al riesgo de tu organización. Como referencia, los umbrales precargados son conservadores y adecuados para PyMES. Revísalos con tu equipo al inicio de cada año.</t>
  </si>
  <si>
    <t>¿Qué hacer cuando un KRI está en CRITICO?</t>
  </si>
  <si>
    <t>Escala de inmediato al responsable del servicio y a la dirección. Documenta la acción correctiva en la columna 'Acción Requerida' y establece una fecha límite realista.</t>
  </si>
  <si>
    <t>Relación con el inventario de servicios</t>
  </si>
  <si>
    <t>Este archivo complementa la plantilla 'inventario_servicios_cloud.xlsx'. Los KRIs de gobierno (KRI-G01 a KRI-G03) deben medirse directamente desde el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</si>
</sst>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7B4F00"/>
      <name val="Arial"/>
      <charset val="1"/>
    </font>
    <font>
      <b/>
      <sz val="9"/>
      <color rgb="FF1E5631"/>
      <name val="Arial"/>
      <charset val="1"/>
    </font>
    <font>
      <b/>
      <sz val="9"/>
      <color rgb="FF7B0000"/>
      <name val="Arial"/>
      <charset val="1"/>
    </font>
    <font>
      <b/>
      <sz val="14"/>
      <name val="Arial"/>
      <charset val="1"/>
    </font>
    <font>
      <b/>
      <sz val="14"/>
      <color rgb="FF1E5631"/>
      <name val="Arial"/>
      <charset val="1"/>
    </font>
    <font>
      <b/>
      <sz val="14"/>
      <color rgb="FF7B4F00"/>
      <name val="Arial"/>
      <charset val="1"/>
    </font>
    <font>
      <b/>
      <sz val="14"/>
      <color rgb="FF7B0000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E5631"/>
      <name val="Arial"/>
      <charset val="1"/>
    </font>
    <font>
      <sz val="10"/>
      <name val="Arial"/>
      <charset val="1"/>
    </font>
    <font>
      <b/>
      <sz val="10"/>
      <color rgb="FF7B4F00"/>
      <name val="Arial"/>
      <charset val="1"/>
    </font>
    <font>
      <b/>
      <sz val="10"/>
      <color rgb="FF7B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471A3"/>
      </patternFill>
    </fill>
    <fill>
      <patternFill patternType="solid">
        <fgColor rgb="FF1A5276"/>
        <bgColor rgb="FF154360"/>
      </patternFill>
    </fill>
    <fill>
      <patternFill patternType="solid">
        <fgColor rgb="FF154360"/>
        <bgColor rgb="FF243F60"/>
      </patternFill>
    </fill>
    <fill>
      <patternFill patternType="solid">
        <fgColor rgb="FF17407A"/>
        <bgColor rgb="FF154360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2E75B6"/>
      </patternFill>
    </fill>
    <fill>
      <patternFill patternType="solid">
        <fgColor rgb="FFD6E4F0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1E5631"/>
        <bgColor rgb="FF154360"/>
      </patternFill>
    </fill>
    <fill>
      <patternFill patternType="solid">
        <fgColor rgb="FF7B4F00"/>
        <bgColor rgb="FF808000"/>
      </patternFill>
    </fill>
    <fill>
      <patternFill patternType="solid">
        <fgColor rgb="FF7B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243F60"/>
        <bgColor rgb="FF1F38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7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18D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1F3864"/>
      <rgbColor rgb="FF1E5631"/>
      <rgbColor rgb="FF7B4F00"/>
      <rgbColor rgb="FF993366"/>
      <rgbColor rgb="FF17407A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zoomScaleNormal="100" workbookViewId="0">
      <pane ySplit="4" topLeftCell="A5" activePane="bottomLeft" state="frozen"/>
      <selection pane="bottomLeft" activeCell="J9" sqref="J9"/>
    </sheetView>
  </sheetViews>
  <sheetFormatPr baseColWidth="10" defaultColWidth="8.7109375" defaultRowHeight="15" x14ac:dyDescent="0.25"/>
  <cols>
    <col min="1" max="1" width="8" customWidth="1"/>
    <col min="2" max="2" width="43.28515625" customWidth="1"/>
    <col min="3" max="3" width="20" customWidth="1"/>
    <col min="4" max="6" width="13" customWidth="1"/>
    <col min="7" max="10" width="10" customWidth="1"/>
    <col min="11" max="11" width="13" customWidth="1"/>
    <col min="12" max="12" width="18" customWidth="1"/>
    <col min="13" max="13" width="14" customWidth="1"/>
    <col min="14" max="14" width="34" customWidth="1"/>
    <col min="15" max="15" width="14" customWidth="1"/>
  </cols>
  <sheetData>
    <row r="1" spans="1:15" ht="30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.75" customHeight="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0"/>
      <c r="O2" s="30"/>
    </row>
    <row r="3" spans="1:15" ht="19.5" customHeight="1" x14ac:dyDescent="0.25">
      <c r="A3" s="33" t="s">
        <v>2</v>
      </c>
      <c r="B3" s="33"/>
      <c r="C3" s="33"/>
      <c r="D3" s="34" t="s">
        <v>3</v>
      </c>
      <c r="E3" s="34"/>
      <c r="F3" s="34"/>
      <c r="G3" s="35" t="s">
        <v>4</v>
      </c>
      <c r="H3" s="35"/>
      <c r="I3" s="35"/>
      <c r="J3" s="36" t="s">
        <v>5</v>
      </c>
      <c r="K3" s="36"/>
      <c r="L3" s="31" t="s">
        <v>6</v>
      </c>
      <c r="M3" s="31"/>
      <c r="N3" s="37" t="s">
        <v>7</v>
      </c>
      <c r="O3" s="37"/>
    </row>
    <row r="4" spans="1:15" ht="45.75" customHeight="1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</row>
    <row r="5" spans="1:15" ht="18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2" t="s">
        <v>26</v>
      </c>
      <c r="H5" s="2" t="s">
        <v>29</v>
      </c>
      <c r="I5" s="4" t="s">
        <v>30</v>
      </c>
      <c r="J5" s="5" t="s">
        <v>31</v>
      </c>
      <c r="K5" s="2" t="s">
        <v>32</v>
      </c>
      <c r="L5" s="3" t="s">
        <v>33</v>
      </c>
      <c r="M5" s="2" t="s">
        <v>34</v>
      </c>
      <c r="N5" s="3" t="s">
        <v>35</v>
      </c>
      <c r="O5" s="2" t="s">
        <v>36</v>
      </c>
    </row>
    <row r="6" spans="1:15" ht="18" customHeight="1" x14ac:dyDescent="0.25">
      <c r="A6" s="6" t="s">
        <v>37</v>
      </c>
      <c r="B6" s="7" t="s">
        <v>38</v>
      </c>
      <c r="C6" s="7" t="s">
        <v>25</v>
      </c>
      <c r="D6" s="7" t="s">
        <v>26</v>
      </c>
      <c r="E6" s="7" t="s">
        <v>39</v>
      </c>
      <c r="F6" s="7" t="s">
        <v>40</v>
      </c>
      <c r="G6" s="6" t="s">
        <v>41</v>
      </c>
      <c r="H6" s="6" t="s">
        <v>41</v>
      </c>
      <c r="I6" s="8" t="s">
        <v>42</v>
      </c>
      <c r="J6" s="5" t="s">
        <v>31</v>
      </c>
      <c r="K6" s="6" t="s">
        <v>32</v>
      </c>
      <c r="L6" s="7" t="s">
        <v>33</v>
      </c>
      <c r="M6" s="6" t="s">
        <v>43</v>
      </c>
      <c r="N6" s="7" t="s">
        <v>44</v>
      </c>
      <c r="O6" s="6" t="s">
        <v>45</v>
      </c>
    </row>
    <row r="7" spans="1:15" ht="18" customHeight="1" x14ac:dyDescent="0.25">
      <c r="A7" s="2" t="s">
        <v>46</v>
      </c>
      <c r="B7" s="3" t="s">
        <v>47</v>
      </c>
      <c r="C7" s="3" t="s">
        <v>25</v>
      </c>
      <c r="D7" s="3" t="s">
        <v>26</v>
      </c>
      <c r="E7" s="3" t="s">
        <v>29</v>
      </c>
      <c r="F7" s="3" t="s">
        <v>48</v>
      </c>
      <c r="G7" s="2" t="s">
        <v>26</v>
      </c>
      <c r="H7" s="2" t="s">
        <v>26</v>
      </c>
      <c r="I7" s="4" t="s">
        <v>42</v>
      </c>
      <c r="J7" s="9" t="s">
        <v>49</v>
      </c>
      <c r="K7" s="2" t="s">
        <v>32</v>
      </c>
      <c r="L7" s="3" t="s">
        <v>50</v>
      </c>
      <c r="M7" s="2" t="s">
        <v>34</v>
      </c>
      <c r="N7" s="3" t="s">
        <v>51</v>
      </c>
      <c r="O7" s="2" t="s">
        <v>52</v>
      </c>
    </row>
    <row r="8" spans="1:15" ht="18" customHeight="1" x14ac:dyDescent="0.25">
      <c r="A8" s="6" t="s">
        <v>53</v>
      </c>
      <c r="B8" s="7" t="s">
        <v>54</v>
      </c>
      <c r="C8" s="7" t="s">
        <v>25</v>
      </c>
      <c r="D8" s="7" t="s">
        <v>55</v>
      </c>
      <c r="E8" s="7" t="s">
        <v>56</v>
      </c>
      <c r="F8" s="7" t="s">
        <v>57</v>
      </c>
      <c r="G8" s="6" t="s">
        <v>58</v>
      </c>
      <c r="H8" s="6" t="s">
        <v>59</v>
      </c>
      <c r="I8" s="8" t="s">
        <v>30</v>
      </c>
      <c r="J8" s="5" t="s">
        <v>31</v>
      </c>
      <c r="K8" s="6" t="s">
        <v>32</v>
      </c>
      <c r="L8" s="7" t="s">
        <v>33</v>
      </c>
      <c r="M8" s="6" t="s">
        <v>43</v>
      </c>
      <c r="N8" s="7" t="s">
        <v>60</v>
      </c>
      <c r="O8" s="6" t="s">
        <v>45</v>
      </c>
    </row>
    <row r="9" spans="1:15" ht="18" customHeight="1" x14ac:dyDescent="0.25">
      <c r="A9" s="2" t="s">
        <v>61</v>
      </c>
      <c r="B9" s="3" t="s">
        <v>62</v>
      </c>
      <c r="C9" s="3" t="s">
        <v>63</v>
      </c>
      <c r="D9" s="3" t="s">
        <v>27</v>
      </c>
      <c r="E9" s="3" t="s">
        <v>64</v>
      </c>
      <c r="F9" s="3" t="s">
        <v>65</v>
      </c>
      <c r="G9" s="2" t="s">
        <v>41</v>
      </c>
      <c r="H9" s="2" t="s">
        <v>58</v>
      </c>
      <c r="I9" s="4" t="s">
        <v>30</v>
      </c>
      <c r="J9" s="5" t="s">
        <v>31</v>
      </c>
      <c r="K9" s="2" t="s">
        <v>32</v>
      </c>
      <c r="L9" s="3" t="s">
        <v>66</v>
      </c>
      <c r="M9" s="2" t="s">
        <v>43</v>
      </c>
      <c r="N9" s="3" t="s">
        <v>67</v>
      </c>
      <c r="O9" s="2" t="s">
        <v>68</v>
      </c>
    </row>
    <row r="10" spans="1:15" ht="18" customHeight="1" x14ac:dyDescent="0.25">
      <c r="A10" s="6" t="s">
        <v>69</v>
      </c>
      <c r="B10" s="7" t="s">
        <v>70</v>
      </c>
      <c r="C10" s="7" t="s">
        <v>63</v>
      </c>
      <c r="D10" s="7" t="s">
        <v>26</v>
      </c>
      <c r="E10" s="7" t="s">
        <v>27</v>
      </c>
      <c r="F10" s="7" t="s">
        <v>28</v>
      </c>
      <c r="G10" s="6" t="s">
        <v>29</v>
      </c>
      <c r="H10" s="6" t="s">
        <v>26</v>
      </c>
      <c r="I10" s="8" t="s">
        <v>71</v>
      </c>
      <c r="J10" s="9" t="s">
        <v>49</v>
      </c>
      <c r="K10" s="6" t="s">
        <v>32</v>
      </c>
      <c r="L10" s="7" t="s">
        <v>66</v>
      </c>
      <c r="M10" s="6" t="s">
        <v>43</v>
      </c>
      <c r="N10" s="7" t="s">
        <v>51</v>
      </c>
      <c r="O10" s="6" t="s">
        <v>52</v>
      </c>
    </row>
    <row r="11" spans="1:15" ht="18" customHeight="1" x14ac:dyDescent="0.25">
      <c r="A11" s="2" t="s">
        <v>72</v>
      </c>
      <c r="B11" s="3" t="s">
        <v>73</v>
      </c>
      <c r="C11" s="3" t="s">
        <v>63</v>
      </c>
      <c r="D11" s="3" t="s">
        <v>26</v>
      </c>
      <c r="E11" s="3" t="s">
        <v>39</v>
      </c>
      <c r="F11" s="3" t="s">
        <v>40</v>
      </c>
      <c r="G11" s="2" t="s">
        <v>74</v>
      </c>
      <c r="H11" s="2" t="s">
        <v>41</v>
      </c>
      <c r="I11" s="4" t="s">
        <v>71</v>
      </c>
      <c r="J11" s="5" t="s">
        <v>31</v>
      </c>
      <c r="K11" s="2" t="s">
        <v>32</v>
      </c>
      <c r="L11" s="3" t="s">
        <v>66</v>
      </c>
      <c r="M11" s="2" t="s">
        <v>43</v>
      </c>
      <c r="N11" s="3" t="s">
        <v>75</v>
      </c>
      <c r="O11" s="2" t="s">
        <v>76</v>
      </c>
    </row>
    <row r="12" spans="1:15" ht="18" customHeight="1" x14ac:dyDescent="0.25">
      <c r="A12" s="6" t="s">
        <v>77</v>
      </c>
      <c r="B12" s="7" t="s">
        <v>78</v>
      </c>
      <c r="C12" s="7" t="s">
        <v>63</v>
      </c>
      <c r="D12" s="7" t="s">
        <v>26</v>
      </c>
      <c r="E12" s="7" t="s">
        <v>27</v>
      </c>
      <c r="F12" s="7" t="s">
        <v>28</v>
      </c>
      <c r="G12" s="6" t="s">
        <v>26</v>
      </c>
      <c r="H12" s="6" t="s">
        <v>29</v>
      </c>
      <c r="I12" s="8" t="s">
        <v>30</v>
      </c>
      <c r="J12" s="5" t="s">
        <v>31</v>
      </c>
      <c r="K12" s="6" t="s">
        <v>32</v>
      </c>
      <c r="L12" s="7" t="s">
        <v>66</v>
      </c>
      <c r="M12" s="6" t="s">
        <v>43</v>
      </c>
      <c r="N12" s="7" t="s">
        <v>79</v>
      </c>
      <c r="O12" s="6" t="s">
        <v>80</v>
      </c>
    </row>
    <row r="13" spans="1:15" ht="18" customHeight="1" x14ac:dyDescent="0.25">
      <c r="A13" s="2" t="s">
        <v>81</v>
      </c>
      <c r="B13" s="3" t="s">
        <v>82</v>
      </c>
      <c r="C13" s="3" t="s">
        <v>83</v>
      </c>
      <c r="D13" s="3" t="s">
        <v>26</v>
      </c>
      <c r="E13" s="3" t="s">
        <v>27</v>
      </c>
      <c r="F13" s="3" t="s">
        <v>28</v>
      </c>
      <c r="G13" s="2" t="s">
        <v>41</v>
      </c>
      <c r="H13" s="2" t="s">
        <v>29</v>
      </c>
      <c r="I13" s="4" t="s">
        <v>71</v>
      </c>
      <c r="J13" s="5" t="s">
        <v>31</v>
      </c>
      <c r="K13" s="2" t="s">
        <v>32</v>
      </c>
      <c r="L13" s="3" t="s">
        <v>33</v>
      </c>
      <c r="M13" s="2" t="s">
        <v>43</v>
      </c>
      <c r="N13" s="3" t="s">
        <v>84</v>
      </c>
      <c r="O13" s="2" t="s">
        <v>76</v>
      </c>
    </row>
    <row r="14" spans="1:15" ht="18" customHeight="1" x14ac:dyDescent="0.25">
      <c r="A14" s="6" t="s">
        <v>85</v>
      </c>
      <c r="B14" s="7" t="s">
        <v>86</v>
      </c>
      <c r="C14" s="7" t="s">
        <v>83</v>
      </c>
      <c r="D14" s="7" t="s">
        <v>26</v>
      </c>
      <c r="E14" s="7" t="s">
        <v>39</v>
      </c>
      <c r="F14" s="7" t="s">
        <v>40</v>
      </c>
      <c r="G14" s="6" t="s">
        <v>26</v>
      </c>
      <c r="H14" s="6" t="s">
        <v>41</v>
      </c>
      <c r="I14" s="8" t="s">
        <v>30</v>
      </c>
      <c r="J14" s="5" t="s">
        <v>31</v>
      </c>
      <c r="K14" s="6" t="s">
        <v>32</v>
      </c>
      <c r="L14" s="7" t="s">
        <v>33</v>
      </c>
      <c r="M14" s="6" t="s">
        <v>87</v>
      </c>
      <c r="N14" s="7" t="s">
        <v>88</v>
      </c>
      <c r="O14" s="6" t="s">
        <v>89</v>
      </c>
    </row>
    <row r="15" spans="1:15" ht="18" customHeight="1" x14ac:dyDescent="0.25">
      <c r="A15" s="2" t="s">
        <v>90</v>
      </c>
      <c r="B15" s="3" t="s">
        <v>91</v>
      </c>
      <c r="C15" s="3" t="s">
        <v>83</v>
      </c>
      <c r="D15" s="3" t="s">
        <v>92</v>
      </c>
      <c r="E15" s="3" t="s">
        <v>93</v>
      </c>
      <c r="F15" s="3" t="s">
        <v>94</v>
      </c>
      <c r="G15" s="2" t="s">
        <v>95</v>
      </c>
      <c r="H15" s="2" t="s">
        <v>96</v>
      </c>
      <c r="I15" s="4" t="s">
        <v>30</v>
      </c>
      <c r="J15" s="5" t="s">
        <v>31</v>
      </c>
      <c r="K15" s="2" t="s">
        <v>32</v>
      </c>
      <c r="L15" s="3" t="s">
        <v>33</v>
      </c>
      <c r="M15" s="2" t="s">
        <v>97</v>
      </c>
      <c r="N15" s="3" t="s">
        <v>98</v>
      </c>
      <c r="O15" s="2" t="s">
        <v>99</v>
      </c>
    </row>
    <row r="16" spans="1:15" ht="18" customHeight="1" x14ac:dyDescent="0.25">
      <c r="A16" s="6" t="s">
        <v>100</v>
      </c>
      <c r="B16" s="7" t="s">
        <v>101</v>
      </c>
      <c r="C16" s="7" t="s">
        <v>102</v>
      </c>
      <c r="D16" s="7" t="s">
        <v>26</v>
      </c>
      <c r="E16" s="7" t="s">
        <v>29</v>
      </c>
      <c r="F16" s="7" t="s">
        <v>48</v>
      </c>
      <c r="G16" s="6" t="s">
        <v>29</v>
      </c>
      <c r="H16" s="6" t="s">
        <v>26</v>
      </c>
      <c r="I16" s="8" t="s">
        <v>71</v>
      </c>
      <c r="J16" s="9" t="s">
        <v>49</v>
      </c>
      <c r="K16" s="6" t="s">
        <v>32</v>
      </c>
      <c r="L16" s="7" t="s">
        <v>33</v>
      </c>
      <c r="M16" s="6" t="s">
        <v>43</v>
      </c>
      <c r="N16" s="7" t="s">
        <v>51</v>
      </c>
      <c r="O16" s="6" t="s">
        <v>52</v>
      </c>
    </row>
    <row r="17" spans="1:15" ht="18" customHeight="1" x14ac:dyDescent="0.25">
      <c r="A17" s="2" t="s">
        <v>103</v>
      </c>
      <c r="B17" s="3" t="s">
        <v>104</v>
      </c>
      <c r="C17" s="3" t="s">
        <v>102</v>
      </c>
      <c r="D17" s="3" t="s">
        <v>105</v>
      </c>
      <c r="E17" s="3" t="s">
        <v>106</v>
      </c>
      <c r="F17" s="3" t="s">
        <v>107</v>
      </c>
      <c r="G17" s="2" t="s">
        <v>105</v>
      </c>
      <c r="H17" s="2" t="s">
        <v>105</v>
      </c>
      <c r="I17" s="4" t="s">
        <v>42</v>
      </c>
      <c r="J17" s="9" t="s">
        <v>49</v>
      </c>
      <c r="K17" s="2" t="s">
        <v>32</v>
      </c>
      <c r="L17" s="3" t="s">
        <v>33</v>
      </c>
      <c r="M17" s="2" t="s">
        <v>97</v>
      </c>
      <c r="N17" s="3" t="s">
        <v>51</v>
      </c>
      <c r="O17" s="2" t="s">
        <v>52</v>
      </c>
    </row>
    <row r="18" spans="1:15" ht="18" customHeight="1" x14ac:dyDescent="0.25">
      <c r="A18" s="6" t="s">
        <v>108</v>
      </c>
      <c r="B18" s="7" t="s">
        <v>109</v>
      </c>
      <c r="C18" s="7" t="s">
        <v>102</v>
      </c>
      <c r="D18" s="7" t="s">
        <v>26</v>
      </c>
      <c r="E18" s="7" t="s">
        <v>27</v>
      </c>
      <c r="F18" s="7" t="s">
        <v>28</v>
      </c>
      <c r="G18" s="6" t="s">
        <v>58</v>
      </c>
      <c r="H18" s="6" t="s">
        <v>41</v>
      </c>
      <c r="I18" s="8" t="s">
        <v>71</v>
      </c>
      <c r="J18" s="5" t="s">
        <v>31</v>
      </c>
      <c r="K18" s="6" t="s">
        <v>32</v>
      </c>
      <c r="L18" s="7" t="s">
        <v>33</v>
      </c>
      <c r="M18" s="6" t="s">
        <v>97</v>
      </c>
      <c r="N18" s="7" t="s">
        <v>110</v>
      </c>
      <c r="O18" s="6" t="s">
        <v>99</v>
      </c>
    </row>
    <row r="19" spans="1:15" ht="18" customHeight="1" x14ac:dyDescent="0.25">
      <c r="A19" s="2" t="s">
        <v>111</v>
      </c>
      <c r="B19" s="3" t="s">
        <v>112</v>
      </c>
      <c r="C19" s="3" t="s">
        <v>113</v>
      </c>
      <c r="D19" s="3" t="s">
        <v>26</v>
      </c>
      <c r="E19" s="3" t="s">
        <v>27</v>
      </c>
      <c r="F19" s="3" t="s">
        <v>28</v>
      </c>
      <c r="G19" s="2" t="s">
        <v>41</v>
      </c>
      <c r="H19" s="2" t="s">
        <v>29</v>
      </c>
      <c r="I19" s="4" t="s">
        <v>71</v>
      </c>
      <c r="J19" s="5" t="s">
        <v>31</v>
      </c>
      <c r="K19" s="2" t="s">
        <v>32</v>
      </c>
      <c r="L19" s="3" t="s">
        <v>33</v>
      </c>
      <c r="M19" s="2" t="s">
        <v>43</v>
      </c>
      <c r="N19" s="3" t="s">
        <v>114</v>
      </c>
      <c r="O19" s="2" t="s">
        <v>68</v>
      </c>
    </row>
    <row r="20" spans="1:15" ht="18" customHeight="1" x14ac:dyDescent="0.25">
      <c r="A20" s="6" t="s">
        <v>115</v>
      </c>
      <c r="B20" s="7" t="s">
        <v>116</v>
      </c>
      <c r="C20" s="7" t="s">
        <v>113</v>
      </c>
      <c r="D20" s="7" t="s">
        <v>26</v>
      </c>
      <c r="E20" s="7" t="s">
        <v>27</v>
      </c>
      <c r="F20" s="7" t="s">
        <v>28</v>
      </c>
      <c r="G20" s="6" t="s">
        <v>29</v>
      </c>
      <c r="H20" s="6" t="s">
        <v>41</v>
      </c>
      <c r="I20" s="8" t="s">
        <v>30</v>
      </c>
      <c r="J20" s="5" t="s">
        <v>31</v>
      </c>
      <c r="K20" s="6" t="s">
        <v>32</v>
      </c>
      <c r="L20" s="7" t="s">
        <v>66</v>
      </c>
      <c r="M20" s="6" t="s">
        <v>43</v>
      </c>
      <c r="N20" s="7" t="s">
        <v>117</v>
      </c>
      <c r="O20" s="6" t="s">
        <v>76</v>
      </c>
    </row>
    <row r="21" spans="1:15" ht="18" customHeight="1" x14ac:dyDescent="0.25">
      <c r="A21" s="2" t="s">
        <v>118</v>
      </c>
      <c r="B21" s="3" t="s">
        <v>119</v>
      </c>
      <c r="C21" s="3" t="s">
        <v>113</v>
      </c>
      <c r="D21" s="3" t="s">
        <v>26</v>
      </c>
      <c r="E21" s="3" t="s">
        <v>27</v>
      </c>
      <c r="F21" s="3" t="s">
        <v>28</v>
      </c>
      <c r="G21" s="2" t="s">
        <v>26</v>
      </c>
      <c r="H21" s="2" t="s">
        <v>26</v>
      </c>
      <c r="I21" s="4" t="s">
        <v>42</v>
      </c>
      <c r="J21" s="9" t="s">
        <v>49</v>
      </c>
      <c r="K21" s="2" t="s">
        <v>32</v>
      </c>
      <c r="L21" s="3" t="s">
        <v>33</v>
      </c>
      <c r="M21" s="2" t="s">
        <v>43</v>
      </c>
      <c r="N21" s="3" t="s">
        <v>51</v>
      </c>
      <c r="O21" s="2" t="s">
        <v>52</v>
      </c>
    </row>
    <row r="22" spans="1:15" ht="18" customHeight="1" x14ac:dyDescent="0.25">
      <c r="A22" s="6" t="s">
        <v>120</v>
      </c>
      <c r="B22" s="7" t="s">
        <v>121</v>
      </c>
      <c r="C22" s="7" t="s">
        <v>122</v>
      </c>
      <c r="D22" s="7" t="s">
        <v>26</v>
      </c>
      <c r="E22" s="7" t="s">
        <v>27</v>
      </c>
      <c r="F22" s="7" t="s">
        <v>28</v>
      </c>
      <c r="G22" s="6" t="s">
        <v>29</v>
      </c>
      <c r="H22" s="6" t="s">
        <v>58</v>
      </c>
      <c r="I22" s="8" t="s">
        <v>30</v>
      </c>
      <c r="J22" s="10" t="s">
        <v>123</v>
      </c>
      <c r="K22" s="6" t="s">
        <v>32</v>
      </c>
      <c r="L22" s="7" t="s">
        <v>33</v>
      </c>
      <c r="M22" s="6" t="s">
        <v>34</v>
      </c>
      <c r="N22" s="7" t="s">
        <v>124</v>
      </c>
      <c r="O22" s="6" t="s">
        <v>36</v>
      </c>
    </row>
    <row r="23" spans="1:15" ht="18" customHeight="1" x14ac:dyDescent="0.25">
      <c r="A23" s="2" t="s">
        <v>125</v>
      </c>
      <c r="B23" s="3" t="s">
        <v>126</v>
      </c>
      <c r="C23" s="3" t="s">
        <v>122</v>
      </c>
      <c r="D23" s="3" t="s">
        <v>26</v>
      </c>
      <c r="E23" s="3" t="s">
        <v>29</v>
      </c>
      <c r="F23" s="3" t="s">
        <v>48</v>
      </c>
      <c r="G23" s="2" t="s">
        <v>26</v>
      </c>
      <c r="H23" s="2" t="s">
        <v>29</v>
      </c>
      <c r="I23" s="4" t="s">
        <v>30</v>
      </c>
      <c r="J23" s="5" t="s">
        <v>31</v>
      </c>
      <c r="K23" s="2" t="s">
        <v>32</v>
      </c>
      <c r="L23" s="3" t="s">
        <v>66</v>
      </c>
      <c r="M23" s="2" t="s">
        <v>43</v>
      </c>
      <c r="N23" s="3" t="s">
        <v>127</v>
      </c>
      <c r="O23" s="2" t="s">
        <v>45</v>
      </c>
    </row>
  </sheetData>
  <mergeCells count="5">
    <mergeCell ref="A3:C3"/>
    <mergeCell ref="D3:F3"/>
    <mergeCell ref="G3:I3"/>
    <mergeCell ref="J3:K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28" customWidth="1"/>
    <col min="2" max="2" width="12" customWidth="1"/>
    <col min="3" max="5" width="10" customWidth="1"/>
    <col min="6" max="8" width="12" customWidth="1"/>
  </cols>
  <sheetData>
    <row r="1" spans="1:8" ht="30" customHeight="1" x14ac:dyDescent="0.25">
      <c r="A1" s="38" t="s">
        <v>128</v>
      </c>
      <c r="B1" s="38"/>
      <c r="C1" s="38"/>
      <c r="D1" s="38"/>
      <c r="E1" s="38"/>
      <c r="F1" s="38"/>
      <c r="G1" s="38"/>
      <c r="H1" s="38"/>
    </row>
    <row r="2" spans="1:8" ht="15.75" customHeight="1" x14ac:dyDescent="0.25">
      <c r="A2" s="39" t="s">
        <v>129</v>
      </c>
      <c r="B2" s="39"/>
      <c r="C2" s="39"/>
      <c r="D2" s="39"/>
      <c r="E2" s="39"/>
      <c r="F2" s="39"/>
      <c r="G2" s="39"/>
      <c r="H2" s="39"/>
    </row>
    <row r="4" spans="1:8" ht="31.5" customHeight="1" x14ac:dyDescent="0.25">
      <c r="A4" s="1" t="s">
        <v>130</v>
      </c>
      <c r="B4" s="11" t="s">
        <v>131</v>
      </c>
      <c r="C4" s="12" t="s">
        <v>132</v>
      </c>
      <c r="D4" s="13" t="s">
        <v>133</v>
      </c>
      <c r="E4" s="1" t="s">
        <v>134</v>
      </c>
    </row>
    <row r="5" spans="1:8" ht="36" customHeight="1" x14ac:dyDescent="0.25">
      <c r="A5" s="14">
        <f>COUNTA('KRIs Cloud'!A5:A100)-COUNTBLANK('KRIs Cloud'!A5:A100)</f>
        <v>-58</v>
      </c>
      <c r="B5" s="15">
        <f>COUNTIF('KRIs Cloud'!J5:J100,"OK")</f>
        <v>5</v>
      </c>
      <c r="C5" s="16">
        <f>COUNTIF('KRIs Cloud'!J5:J100,"ALERTA")</f>
        <v>13</v>
      </c>
      <c r="D5" s="17">
        <f>COUNTIF('KRIs Cloud'!J5:J100,"CRITICO")</f>
        <v>1</v>
      </c>
      <c r="E5" s="18">
        <f>IF(A5=0,0,B5/A5)</f>
        <v>-8.6206896551724144E-2</v>
      </c>
    </row>
    <row r="7" spans="1:8" ht="19.5" customHeight="1" x14ac:dyDescent="0.25">
      <c r="A7" s="40" t="s">
        <v>135</v>
      </c>
      <c r="B7" s="40"/>
      <c r="C7" s="40"/>
      <c r="D7" s="40"/>
      <c r="E7" s="40"/>
      <c r="F7" s="40"/>
      <c r="G7" s="40"/>
      <c r="H7" s="40"/>
    </row>
    <row r="8" spans="1:8" ht="19.5" customHeight="1" x14ac:dyDescent="0.25">
      <c r="A8" s="1" t="s">
        <v>136</v>
      </c>
      <c r="B8" s="1" t="s">
        <v>137</v>
      </c>
      <c r="C8" s="1" t="s">
        <v>49</v>
      </c>
      <c r="D8" s="1" t="s">
        <v>138</v>
      </c>
      <c r="E8" s="1" t="s">
        <v>139</v>
      </c>
      <c r="F8" s="1" t="s">
        <v>140</v>
      </c>
    </row>
    <row r="9" spans="1:8" ht="18" customHeight="1" x14ac:dyDescent="0.25">
      <c r="A9" s="19" t="s">
        <v>25</v>
      </c>
      <c r="B9" s="20">
        <f>COUNTIF('KRIs Cloud'!C5:C100,A9)</f>
        <v>4</v>
      </c>
      <c r="C9" s="20">
        <f>COUNTIFS('KRIs Cloud'!C5:C100,A9,'KRIs Cloud'!J5:J100,"OK")</f>
        <v>1</v>
      </c>
      <c r="D9" s="20">
        <f>COUNTIFS('KRIs Cloud'!C5:C100,A9,'KRIs Cloud'!J5:J100,"ALERTA")</f>
        <v>3</v>
      </c>
      <c r="E9" s="20">
        <f>COUNTIFS('KRIs Cloud'!C5:C100,A9,'KRIs Cloud'!J5:J100,"CRITICO")</f>
        <v>0</v>
      </c>
      <c r="F9" s="21" t="str">
        <f t="shared" ref="F9:F14" si="0">IF(B9=0,"-",TEXT(C9/B9,"0.0%"))</f>
        <v>25%</v>
      </c>
    </row>
    <row r="10" spans="1:8" ht="18" customHeight="1" x14ac:dyDescent="0.25">
      <c r="A10" s="22" t="s">
        <v>63</v>
      </c>
      <c r="B10" s="23">
        <f>COUNTIF('KRIs Cloud'!C5:C100,A10)</f>
        <v>4</v>
      </c>
      <c r="C10" s="23">
        <f>COUNTIFS('KRIs Cloud'!C5:C100,A10,'KRIs Cloud'!J5:J100,"OK")</f>
        <v>1</v>
      </c>
      <c r="D10" s="23">
        <f>COUNTIFS('KRIs Cloud'!C5:C100,A10,'KRIs Cloud'!J5:J100,"ALERTA")</f>
        <v>3</v>
      </c>
      <c r="E10" s="23">
        <f>COUNTIFS('KRIs Cloud'!C5:C100,A10,'KRIs Cloud'!J5:J100,"CRITICO")</f>
        <v>0</v>
      </c>
      <c r="F10" s="24" t="str">
        <f t="shared" si="0"/>
        <v>25%</v>
      </c>
    </row>
    <row r="11" spans="1:8" ht="18" customHeight="1" x14ac:dyDescent="0.25">
      <c r="A11" s="19" t="s">
        <v>83</v>
      </c>
      <c r="B11" s="20">
        <f>COUNTIF('KRIs Cloud'!C5:C100,A11)</f>
        <v>3</v>
      </c>
      <c r="C11" s="20">
        <f>COUNTIFS('KRIs Cloud'!C5:C100,A11,'KRIs Cloud'!J5:J100,"OK")</f>
        <v>0</v>
      </c>
      <c r="D11" s="20">
        <f>COUNTIFS('KRIs Cloud'!C5:C100,A11,'KRIs Cloud'!J5:J100,"ALERTA")</f>
        <v>3</v>
      </c>
      <c r="E11" s="20">
        <f>COUNTIFS('KRIs Cloud'!C5:C100,A11,'KRIs Cloud'!J5:J100,"CRITICO")</f>
        <v>0</v>
      </c>
      <c r="F11" s="21" t="str">
        <f t="shared" si="0"/>
        <v>00%</v>
      </c>
    </row>
    <row r="12" spans="1:8" ht="18" customHeight="1" x14ac:dyDescent="0.25">
      <c r="A12" s="22" t="s">
        <v>102</v>
      </c>
      <c r="B12" s="23">
        <f>COUNTIF('KRIs Cloud'!C5:C100,A12)</f>
        <v>3</v>
      </c>
      <c r="C12" s="23">
        <f>COUNTIFS('KRIs Cloud'!C5:C100,A12,'KRIs Cloud'!J5:J100,"OK")</f>
        <v>2</v>
      </c>
      <c r="D12" s="23">
        <f>COUNTIFS('KRIs Cloud'!C5:C100,A12,'KRIs Cloud'!J5:J100,"ALERTA")</f>
        <v>1</v>
      </c>
      <c r="E12" s="23">
        <f>COUNTIFS('KRIs Cloud'!C5:C100,A12,'KRIs Cloud'!J5:J100,"CRITICO")</f>
        <v>0</v>
      </c>
      <c r="F12" s="24" t="str">
        <f t="shared" si="0"/>
        <v>67%</v>
      </c>
    </row>
    <row r="13" spans="1:8" ht="18" customHeight="1" x14ac:dyDescent="0.25">
      <c r="A13" s="19" t="s">
        <v>113</v>
      </c>
      <c r="B13" s="20">
        <f>COUNTIF('KRIs Cloud'!C5:C100,A13)</f>
        <v>3</v>
      </c>
      <c r="C13" s="20">
        <f>COUNTIFS('KRIs Cloud'!C5:C100,A13,'KRIs Cloud'!J5:J100,"OK")</f>
        <v>1</v>
      </c>
      <c r="D13" s="20">
        <f>COUNTIFS('KRIs Cloud'!C5:C100,A13,'KRIs Cloud'!J5:J100,"ALERTA")</f>
        <v>2</v>
      </c>
      <c r="E13" s="20">
        <f>COUNTIFS('KRIs Cloud'!C5:C100,A13,'KRIs Cloud'!J5:J100,"CRITICO")</f>
        <v>0</v>
      </c>
      <c r="F13" s="21" t="str">
        <f t="shared" si="0"/>
        <v>33%</v>
      </c>
    </row>
    <row r="14" spans="1:8" ht="18" customHeight="1" x14ac:dyDescent="0.25">
      <c r="A14" s="22" t="s">
        <v>122</v>
      </c>
      <c r="B14" s="23">
        <f>COUNTIF('KRIs Cloud'!C5:C100,A14)</f>
        <v>2</v>
      </c>
      <c r="C14" s="23">
        <f>COUNTIFS('KRIs Cloud'!C5:C100,A14,'KRIs Cloud'!J5:J100,"OK")</f>
        <v>0</v>
      </c>
      <c r="D14" s="23">
        <f>COUNTIFS('KRIs Cloud'!C5:C100,A14,'KRIs Cloud'!J5:J100,"ALERTA")</f>
        <v>1</v>
      </c>
      <c r="E14" s="23">
        <f>COUNTIFS('KRIs Cloud'!C5:C100,A14,'KRIs Cloud'!J5:J100,"CRITICO")</f>
        <v>1</v>
      </c>
      <c r="F14" s="24" t="str">
        <f t="shared" si="0"/>
        <v>00%</v>
      </c>
    </row>
  </sheetData>
  <mergeCells count="3">
    <mergeCell ref="A1:H1"/>
    <mergeCell ref="A2:H2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35" customWidth="1"/>
    <col min="3" max="4" width="25" customWidth="1"/>
  </cols>
  <sheetData>
    <row r="1" spans="1:4" ht="25.5" customHeight="1" x14ac:dyDescent="0.25">
      <c r="A1" s="43" t="s">
        <v>141</v>
      </c>
      <c r="B1" s="43"/>
      <c r="C1" s="43"/>
      <c r="D1" s="43"/>
    </row>
    <row r="3" spans="1:4" ht="19.5" customHeight="1" x14ac:dyDescent="0.25">
      <c r="A3" s="40" t="s">
        <v>142</v>
      </c>
      <c r="B3" s="40"/>
      <c r="C3" s="40"/>
      <c r="D3" s="40"/>
    </row>
    <row r="4" spans="1:4" ht="24" customHeight="1" x14ac:dyDescent="0.25">
      <c r="A4" s="25" t="s">
        <v>49</v>
      </c>
      <c r="B4" s="42" t="s">
        <v>143</v>
      </c>
      <c r="C4" s="42"/>
      <c r="D4" s="42"/>
    </row>
    <row r="5" spans="1:4" ht="24" customHeight="1" x14ac:dyDescent="0.25">
      <c r="A5" s="26" t="s">
        <v>31</v>
      </c>
      <c r="B5" s="42" t="s">
        <v>144</v>
      </c>
      <c r="C5" s="42"/>
      <c r="D5" s="42"/>
    </row>
    <row r="6" spans="1:4" ht="24" customHeight="1" x14ac:dyDescent="0.25">
      <c r="A6" s="27" t="s">
        <v>123</v>
      </c>
      <c r="B6" s="42" t="s">
        <v>145</v>
      </c>
      <c r="C6" s="42"/>
      <c r="D6" s="42"/>
    </row>
    <row r="8" spans="1:4" ht="19.5" customHeight="1" x14ac:dyDescent="0.25">
      <c r="A8" s="40" t="s">
        <v>146</v>
      </c>
      <c r="B8" s="40"/>
      <c r="C8" s="40"/>
      <c r="D8" s="40"/>
    </row>
    <row r="9" spans="1:4" ht="51.75" customHeight="1" x14ac:dyDescent="0.25">
      <c r="A9" s="28" t="s">
        <v>147</v>
      </c>
      <c r="B9" s="41" t="s">
        <v>148</v>
      </c>
      <c r="C9" s="41"/>
      <c r="D9" s="41"/>
    </row>
    <row r="10" spans="1:4" ht="51.75" customHeight="1" x14ac:dyDescent="0.25">
      <c r="A10" s="28" t="s">
        <v>149</v>
      </c>
      <c r="B10" s="42" t="s">
        <v>150</v>
      </c>
      <c r="C10" s="42"/>
      <c r="D10" s="42"/>
    </row>
    <row r="11" spans="1:4" ht="51.75" customHeight="1" x14ac:dyDescent="0.25">
      <c r="A11" s="28" t="s">
        <v>151</v>
      </c>
      <c r="B11" s="41" t="s">
        <v>152</v>
      </c>
      <c r="C11" s="41"/>
      <c r="D11" s="41"/>
    </row>
    <row r="12" spans="1:4" ht="51.75" customHeight="1" x14ac:dyDescent="0.25">
      <c r="A12" s="28" t="s">
        <v>153</v>
      </c>
      <c r="B12" s="42" t="s">
        <v>154</v>
      </c>
      <c r="C12" s="42"/>
      <c r="D12" s="42"/>
    </row>
    <row r="13" spans="1:4" ht="51.75" customHeight="1" x14ac:dyDescent="0.25">
      <c r="A13" s="28" t="s">
        <v>155</v>
      </c>
      <c r="B13" s="41" t="s">
        <v>156</v>
      </c>
      <c r="C13" s="41"/>
      <c r="D13" s="41"/>
    </row>
    <row r="14" spans="1:4" ht="51.75" customHeight="1" x14ac:dyDescent="0.25">
      <c r="A14" s="28" t="s">
        <v>157</v>
      </c>
      <c r="B14" s="42" t="s">
        <v>158</v>
      </c>
      <c r="C14" s="42"/>
      <c r="D14" s="42"/>
    </row>
  </sheetData>
  <mergeCells count="12">
    <mergeCell ref="A1:D1"/>
    <mergeCell ref="A3:D3"/>
    <mergeCell ref="B4:D4"/>
    <mergeCell ref="B5:D5"/>
    <mergeCell ref="B6:D6"/>
    <mergeCell ref="B13:D13"/>
    <mergeCell ref="B14:D14"/>
    <mergeCell ref="A8:D8"/>
    <mergeCell ref="B9:D9"/>
    <mergeCell ref="B10:D10"/>
    <mergeCell ref="B11:D11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KRIs Cloud</vt:lpstr>
      <vt:lpstr>Tablero Resumen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Mauricio Vergara</cp:lastModifiedBy>
  <cp:revision>0</cp:revision>
  <dcterms:created xsi:type="dcterms:W3CDTF">2026-03-25T18:12:35Z</dcterms:created>
  <dcterms:modified xsi:type="dcterms:W3CDTF">2026-03-30T21:12:47Z</dcterms:modified>
  <dc:language>en-US</dc:language>
</cp:coreProperties>
</file>