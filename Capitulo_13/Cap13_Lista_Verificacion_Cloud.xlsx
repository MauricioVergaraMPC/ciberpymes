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E0261807910A99C87425866165BF03F0B69BEB95" xr6:coauthVersionLast="47" xr6:coauthVersionMax="47" xr10:uidLastSave="{07991CE0-7FB9-4AEB-986A-6663E92AA129}"/>
  <bookViews>
    <workbookView xWindow="33120" yWindow="1395" windowWidth="23310" windowHeight="12750" tabRatio="500" xr2:uid="{00000000-000D-0000-FFFF-FFFF00000000}"/>
  </bookViews>
  <sheets>
    <sheet name="Checklist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F10" i="2" s="1"/>
  <c r="E4" i="2"/>
  <c r="E10" i="2" s="1"/>
  <c r="D4" i="2"/>
  <c r="D10" i="2" s="1"/>
  <c r="C4" i="2"/>
  <c r="C10" i="2" s="1"/>
</calcChain>
</file>

<file path=xl/sharedStrings.xml><?xml version="1.0" encoding="utf-8"?>
<sst xmlns="http://schemas.openxmlformats.org/spreadsheetml/2006/main" count="98" uniqueCount="59">
  <si>
    <t>CIBERPROTECCIÓN PARA PyMES  ·  Capítulo 13- Cloud</t>
  </si>
  <si>
    <t>Lista de Verificación — Computación en la Nube</t>
  </si>
  <si>
    <t>Función</t>
  </si>
  <si>
    <t>N°</t>
  </si>
  <si>
    <t>Actividad</t>
  </si>
  <si>
    <t>Estado</t>
  </si>
  <si>
    <t>Responsable</t>
  </si>
  <si>
    <t>Fecha de ejecución</t>
  </si>
  <si>
    <t>Observaciones</t>
  </si>
  <si>
    <t>GOBERNANZA</t>
  </si>
  <si>
    <t>Establecer la Política de Uso de Servicios en la Nube</t>
  </si>
  <si>
    <t>Pendiente</t>
  </si>
  <si>
    <t>Mantener el listado de proveedores de nube autorizados</t>
  </si>
  <si>
    <t>Definir el Proceso de Aprobación de Nuevos Servicios Cloud</t>
  </si>
  <si>
    <t>IDENTIFICACIÓN</t>
  </si>
  <si>
    <t>Levantar el listado de servicios en la nube</t>
  </si>
  <si>
    <t>Determinar la criticidad de los servicios</t>
  </si>
  <si>
    <t>Establecer los Indicadores Clave de Riesgo (KRI)</t>
  </si>
  <si>
    <t>Establecer la Línea Base de Seguridad</t>
  </si>
  <si>
    <t>Crear o actualizar el diagrama de red</t>
  </si>
  <si>
    <t>PROTECCIÓN</t>
  </si>
  <si>
    <t>Fortalecer la gestión de identidades</t>
  </si>
  <si>
    <t>Segurizar el entorno de nube pública</t>
  </si>
  <si>
    <t>Ejecutar cifrado de datos y gestión de secretos</t>
  </si>
  <si>
    <t>Ejecutar copias de seguridad</t>
  </si>
  <si>
    <t>Ejecutar mantenimientos preventivos periódicos</t>
  </si>
  <si>
    <t>DETECCIÓN</t>
  </si>
  <si>
    <t>Habilitar el registro de actividad (logging)</t>
  </si>
  <si>
    <t>Desplegar sistemas de detección de vulnerabilidades</t>
  </si>
  <si>
    <t>Suscribirse a boletines de alerta</t>
  </si>
  <si>
    <t>RESPUESTA</t>
  </si>
  <si>
    <t>Diseñar el Plan de Recuperación ante Desastres (DRP)</t>
  </si>
  <si>
    <t>Ejecutar pruebas de recuperación de desastres</t>
  </si>
  <si>
    <t>RECUPERACIÓN</t>
  </si>
  <si>
    <t>Identificar y resolver la causa raíz</t>
  </si>
  <si>
    <t>Restaurar los servicios afectados</t>
  </si>
  <si>
    <t>Verificar la integridad del entorno recuperado</t>
  </si>
  <si>
    <t>Recopilar evidencia forense</t>
  </si>
  <si>
    <t>Ejecutar el análisis post-mortem</t>
  </si>
  <si>
    <t>TOTAL ACTIVIDADES</t>
  </si>
  <si>
    <t>Dashboard — Estado de Implementación</t>
  </si>
  <si>
    <t>Total actividades</t>
  </si>
  <si>
    <t>En progreso</t>
  </si>
  <si>
    <t>Completada</t>
  </si>
  <si>
    <t>No aplica</t>
  </si>
  <si>
    <t>TOTAL GENERAL</t>
  </si>
  <si>
    <t>Nota: cambie el estado de cada actividad en la hoja Checklist. Este dashboard se actualiza automáticamente.</t>
  </si>
  <si>
    <t>Instructivo de uso</t>
  </si>
  <si>
    <t>Campo</t>
  </si>
  <si>
    <t>Descripción</t>
  </si>
  <si>
    <t>Función del NIST CSF 2.0 (Gobernanza, Identificación, Protección, Detección, Respuesta, Recuperación) a la que pertenece la actividad, según el desarrollo del Capítulo 13- Cloud.</t>
  </si>
  <si>
    <t>Número secuencial de la actividad dentro de su función.</t>
  </si>
  <si>
    <t>Actividad de segurización descrita en el capítulo. Corresponde a las secciones desarrolladas dentro de cada función.</t>
  </si>
  <si>
    <t>Estado de avance de la actividad. Seleccionar de la lista desplegable: Pendiente, En progreso, Completada, No aplica.</t>
  </si>
  <si>
    <t>Nombre o rol de la persona responsable de ejecutar o dar seguimiento a la actividad.</t>
  </si>
  <si>
    <t>Fecha en la que la actividad fue completada o en la que se actualizó su estado por última vez.</t>
  </si>
  <si>
    <t>Notas adicionales, hallazgos, o justificación cuando el estado sea 'No aplica'.</t>
  </si>
  <si>
    <t>Dashboard</t>
  </si>
  <si>
    <t>La hoja 'Dashboard' resume automáticamente, por función, la cantidad de actividades en cada estado, mediante fórmulas COUNTIF sobre la hoja Checklist. No requiere edición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</si>
</sst>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555555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i/>
      <sz val="9"/>
      <color rgb="FF555555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2E6DA4"/>
        <bgColor rgb="FF185FA5"/>
      </patternFill>
    </fill>
    <fill>
      <patternFill patternType="solid">
        <fgColor rgb="FFBA7517"/>
        <bgColor rgb="FFFF6600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6" customWidth="1"/>
    <col min="2" max="2" width="4" customWidth="1"/>
    <col min="3" max="3" width="62" customWidth="1"/>
    <col min="4" max="4" width="15" customWidth="1"/>
    <col min="5" max="5" width="20" customWidth="1"/>
    <col min="6" max="6" width="16" customWidth="1"/>
    <col min="7" max="7" width="30" customWidth="1"/>
  </cols>
  <sheetData>
    <row r="1" spans="1:7" ht="27.75" customHeight="1" x14ac:dyDescent="0.25">
      <c r="A1" s="7" t="s">
        <v>0</v>
      </c>
      <c r="B1" s="7"/>
      <c r="C1" s="7"/>
      <c r="D1" s="7"/>
      <c r="E1" s="7"/>
      <c r="F1" s="7"/>
      <c r="G1" s="7"/>
    </row>
    <row r="2" spans="1:7" ht="21.75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21.75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spans="1:7" ht="27.75" customHeight="1" x14ac:dyDescent="0.25">
      <c r="A4" s="5" t="s">
        <v>9</v>
      </c>
      <c r="B4" s="9">
        <v>1</v>
      </c>
      <c r="C4" s="10" t="s">
        <v>10</v>
      </c>
      <c r="D4" s="11" t="s">
        <v>11</v>
      </c>
      <c r="E4" s="10"/>
      <c r="F4" s="11"/>
      <c r="G4" s="10"/>
    </row>
    <row r="5" spans="1:7" ht="27.75" customHeight="1" x14ac:dyDescent="0.25">
      <c r="A5" s="5"/>
      <c r="B5" s="12">
        <v>2</v>
      </c>
      <c r="C5" s="13" t="s">
        <v>12</v>
      </c>
      <c r="D5" s="14" t="s">
        <v>11</v>
      </c>
      <c r="E5" s="13"/>
      <c r="F5" s="14"/>
      <c r="G5" s="13"/>
    </row>
    <row r="6" spans="1:7" ht="27.75" customHeight="1" x14ac:dyDescent="0.25">
      <c r="A6" s="5"/>
      <c r="B6" s="9">
        <v>3</v>
      </c>
      <c r="C6" s="10" t="s">
        <v>13</v>
      </c>
      <c r="D6" s="11" t="s">
        <v>11</v>
      </c>
      <c r="E6" s="10"/>
      <c r="F6" s="11"/>
      <c r="G6" s="10"/>
    </row>
    <row r="7" spans="1:7" ht="27.75" customHeight="1" x14ac:dyDescent="0.25">
      <c r="A7" s="4" t="s">
        <v>14</v>
      </c>
      <c r="B7" s="12">
        <v>1</v>
      </c>
      <c r="C7" s="13" t="s">
        <v>15</v>
      </c>
      <c r="D7" s="14" t="s">
        <v>11</v>
      </c>
      <c r="E7" s="13"/>
      <c r="F7" s="14"/>
      <c r="G7" s="13"/>
    </row>
    <row r="8" spans="1:7" ht="27.75" customHeight="1" x14ac:dyDescent="0.25">
      <c r="A8" s="4"/>
      <c r="B8" s="9">
        <v>2</v>
      </c>
      <c r="C8" s="10" t="s">
        <v>16</v>
      </c>
      <c r="D8" s="11" t="s">
        <v>11</v>
      </c>
      <c r="E8" s="10"/>
      <c r="F8" s="11"/>
      <c r="G8" s="10"/>
    </row>
    <row r="9" spans="1:7" ht="27.75" customHeight="1" x14ac:dyDescent="0.25">
      <c r="A9" s="4"/>
      <c r="B9" s="12">
        <v>3</v>
      </c>
      <c r="C9" s="13" t="s">
        <v>17</v>
      </c>
      <c r="D9" s="14" t="s">
        <v>11</v>
      </c>
      <c r="E9" s="13"/>
      <c r="F9" s="14"/>
      <c r="G9" s="13"/>
    </row>
    <row r="10" spans="1:7" ht="27.75" customHeight="1" x14ac:dyDescent="0.25">
      <c r="A10" s="4"/>
      <c r="B10" s="9">
        <v>4</v>
      </c>
      <c r="C10" s="10" t="s">
        <v>18</v>
      </c>
      <c r="D10" s="11" t="s">
        <v>11</v>
      </c>
      <c r="E10" s="10"/>
      <c r="F10" s="11"/>
      <c r="G10" s="10"/>
    </row>
    <row r="11" spans="1:7" ht="27.75" customHeight="1" x14ac:dyDescent="0.25">
      <c r="A11" s="4"/>
      <c r="B11" s="12">
        <v>5</v>
      </c>
      <c r="C11" s="13" t="s">
        <v>19</v>
      </c>
      <c r="D11" s="14" t="s">
        <v>11</v>
      </c>
      <c r="E11" s="13"/>
      <c r="F11" s="14"/>
      <c r="G11" s="13"/>
    </row>
    <row r="12" spans="1:7" ht="27.75" customHeight="1" x14ac:dyDescent="0.25">
      <c r="A12" s="3" t="s">
        <v>20</v>
      </c>
      <c r="B12" s="9">
        <v>1</v>
      </c>
      <c r="C12" s="10" t="s">
        <v>21</v>
      </c>
      <c r="D12" s="11" t="s">
        <v>11</v>
      </c>
      <c r="E12" s="10"/>
      <c r="F12" s="11"/>
      <c r="G12" s="10"/>
    </row>
    <row r="13" spans="1:7" ht="27.75" customHeight="1" x14ac:dyDescent="0.25">
      <c r="A13" s="3"/>
      <c r="B13" s="12">
        <v>2</v>
      </c>
      <c r="C13" s="13" t="s">
        <v>22</v>
      </c>
      <c r="D13" s="14" t="s">
        <v>11</v>
      </c>
      <c r="E13" s="13"/>
      <c r="F13" s="14"/>
      <c r="G13" s="13"/>
    </row>
    <row r="14" spans="1:7" ht="27.75" customHeight="1" x14ac:dyDescent="0.25">
      <c r="A14" s="3"/>
      <c r="B14" s="9">
        <v>3</v>
      </c>
      <c r="C14" s="10" t="s">
        <v>23</v>
      </c>
      <c r="D14" s="11" t="s">
        <v>11</v>
      </c>
      <c r="E14" s="10"/>
      <c r="F14" s="11"/>
      <c r="G14" s="10"/>
    </row>
    <row r="15" spans="1:7" ht="27.75" customHeight="1" x14ac:dyDescent="0.25">
      <c r="A15" s="3"/>
      <c r="B15" s="12">
        <v>4</v>
      </c>
      <c r="C15" s="13" t="s">
        <v>24</v>
      </c>
      <c r="D15" s="14" t="s">
        <v>11</v>
      </c>
      <c r="E15" s="13"/>
      <c r="F15" s="14"/>
      <c r="G15" s="13"/>
    </row>
    <row r="16" spans="1:7" ht="27.75" customHeight="1" x14ac:dyDescent="0.25">
      <c r="A16" s="3"/>
      <c r="B16" s="9">
        <v>5</v>
      </c>
      <c r="C16" s="10" t="s">
        <v>25</v>
      </c>
      <c r="D16" s="11" t="s">
        <v>11</v>
      </c>
      <c r="E16" s="10"/>
      <c r="F16" s="11"/>
      <c r="G16" s="10"/>
    </row>
    <row r="17" spans="1:7" ht="27.75" customHeight="1" x14ac:dyDescent="0.25">
      <c r="A17" s="5" t="s">
        <v>26</v>
      </c>
      <c r="B17" s="12">
        <v>1</v>
      </c>
      <c r="C17" s="13" t="s">
        <v>27</v>
      </c>
      <c r="D17" s="14" t="s">
        <v>11</v>
      </c>
      <c r="E17" s="13"/>
      <c r="F17" s="14"/>
      <c r="G17" s="13"/>
    </row>
    <row r="18" spans="1:7" ht="27.75" customHeight="1" x14ac:dyDescent="0.25">
      <c r="A18" s="5"/>
      <c r="B18" s="9">
        <v>2</v>
      </c>
      <c r="C18" s="10" t="s">
        <v>28</v>
      </c>
      <c r="D18" s="11" t="s">
        <v>11</v>
      </c>
      <c r="E18" s="10"/>
      <c r="F18" s="11"/>
      <c r="G18" s="10"/>
    </row>
    <row r="19" spans="1:7" ht="27.75" customHeight="1" x14ac:dyDescent="0.25">
      <c r="A19" s="5"/>
      <c r="B19" s="12">
        <v>3</v>
      </c>
      <c r="C19" s="13" t="s">
        <v>29</v>
      </c>
      <c r="D19" s="14" t="s">
        <v>11</v>
      </c>
      <c r="E19" s="13"/>
      <c r="F19" s="14"/>
      <c r="G19" s="13"/>
    </row>
    <row r="20" spans="1:7" ht="27.75" customHeight="1" x14ac:dyDescent="0.25">
      <c r="A20" s="4" t="s">
        <v>30</v>
      </c>
      <c r="B20" s="9">
        <v>1</v>
      </c>
      <c r="C20" s="10" t="s">
        <v>31</v>
      </c>
      <c r="D20" s="11" t="s">
        <v>11</v>
      </c>
      <c r="E20" s="10"/>
      <c r="F20" s="11"/>
      <c r="G20" s="10"/>
    </row>
    <row r="21" spans="1:7" ht="27.75" customHeight="1" x14ac:dyDescent="0.25">
      <c r="A21" s="4"/>
      <c r="B21" s="12">
        <v>2</v>
      </c>
      <c r="C21" s="13" t="s">
        <v>32</v>
      </c>
      <c r="D21" s="14" t="s">
        <v>11</v>
      </c>
      <c r="E21" s="13"/>
      <c r="F21" s="14"/>
      <c r="G21" s="13"/>
    </row>
    <row r="22" spans="1:7" ht="27.75" customHeight="1" x14ac:dyDescent="0.25">
      <c r="A22" s="3" t="s">
        <v>33</v>
      </c>
      <c r="B22" s="9">
        <v>1</v>
      </c>
      <c r="C22" s="10" t="s">
        <v>34</v>
      </c>
      <c r="D22" s="11" t="s">
        <v>11</v>
      </c>
      <c r="E22" s="10"/>
      <c r="F22" s="11"/>
      <c r="G22" s="10"/>
    </row>
    <row r="23" spans="1:7" ht="27.75" customHeight="1" x14ac:dyDescent="0.25">
      <c r="A23" s="3"/>
      <c r="B23" s="12">
        <v>2</v>
      </c>
      <c r="C23" s="13" t="s">
        <v>35</v>
      </c>
      <c r="D23" s="14" t="s">
        <v>11</v>
      </c>
      <c r="E23" s="13"/>
      <c r="F23" s="14"/>
      <c r="G23" s="13"/>
    </row>
    <row r="24" spans="1:7" ht="27.75" customHeight="1" x14ac:dyDescent="0.25">
      <c r="A24" s="3"/>
      <c r="B24" s="9">
        <v>3</v>
      </c>
      <c r="C24" s="10" t="s">
        <v>36</v>
      </c>
      <c r="D24" s="11" t="s">
        <v>11</v>
      </c>
      <c r="E24" s="10"/>
      <c r="F24" s="11"/>
      <c r="G24" s="10"/>
    </row>
    <row r="25" spans="1:7" ht="27.75" customHeight="1" x14ac:dyDescent="0.25">
      <c r="A25" s="3"/>
      <c r="B25" s="12">
        <v>4</v>
      </c>
      <c r="C25" s="13" t="s">
        <v>37</v>
      </c>
      <c r="D25" s="14" t="s">
        <v>11</v>
      </c>
      <c r="E25" s="13"/>
      <c r="F25" s="14"/>
      <c r="G25" s="13"/>
    </row>
    <row r="26" spans="1:7" ht="27.75" customHeight="1" x14ac:dyDescent="0.25">
      <c r="A26" s="3"/>
      <c r="B26" s="9">
        <v>5</v>
      </c>
      <c r="C26" s="10" t="s">
        <v>38</v>
      </c>
      <c r="D26" s="11" t="s">
        <v>11</v>
      </c>
      <c r="E26" s="10"/>
      <c r="F26" s="11"/>
      <c r="G26" s="10"/>
    </row>
    <row r="27" spans="1:7" ht="21.75" customHeight="1" x14ac:dyDescent="0.25">
      <c r="A27" s="2" t="s">
        <v>39</v>
      </c>
      <c r="B27" s="2"/>
      <c r="C27" s="16">
        <v>23</v>
      </c>
    </row>
  </sheetData>
  <mergeCells count="9">
    <mergeCell ref="A17:A19"/>
    <mergeCell ref="A20:A21"/>
    <mergeCell ref="A22:A26"/>
    <mergeCell ref="A27:B27"/>
    <mergeCell ref="A1:G1"/>
    <mergeCell ref="A2:G2"/>
    <mergeCell ref="A4:A6"/>
    <mergeCell ref="A7:A11"/>
    <mergeCell ref="A12:A16"/>
  </mergeCells>
  <dataValidations count="1">
    <dataValidation type="list" allowBlank="1" sqref="D4:D26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/>
  </sheetViews>
  <sheetFormatPr baseColWidth="10" defaultColWidth="8.7109375" defaultRowHeight="15" x14ac:dyDescent="0.25"/>
  <cols>
    <col min="1" max="1" width="20" customWidth="1"/>
    <col min="2" max="2" width="16" customWidth="1"/>
    <col min="3" max="6" width="14" customWidth="1"/>
  </cols>
  <sheetData>
    <row r="1" spans="1:6" ht="17.100000000000001" customHeight="1" x14ac:dyDescent="0.25">
      <c r="A1" s="7" t="s">
        <v>0</v>
      </c>
      <c r="B1" s="7"/>
      <c r="C1" s="7"/>
      <c r="D1" s="7"/>
      <c r="E1" s="7"/>
      <c r="F1" s="7"/>
    </row>
    <row r="2" spans="1:6" ht="15" customHeight="1" x14ac:dyDescent="0.25">
      <c r="A2" s="6" t="s">
        <v>40</v>
      </c>
      <c r="B2" s="6"/>
      <c r="C2" s="6"/>
      <c r="D2" s="6"/>
      <c r="E2" s="6"/>
      <c r="F2" s="6"/>
    </row>
    <row r="3" spans="1:6" x14ac:dyDescent="0.25">
      <c r="A3" s="8" t="s">
        <v>2</v>
      </c>
      <c r="B3" s="8" t="s">
        <v>41</v>
      </c>
      <c r="C3" s="8" t="s">
        <v>11</v>
      </c>
      <c r="D3" s="8" t="s">
        <v>42</v>
      </c>
      <c r="E3" s="8" t="s">
        <v>43</v>
      </c>
      <c r="F3" s="8" t="s">
        <v>44</v>
      </c>
    </row>
    <row r="4" spans="1:6" x14ac:dyDescent="0.25">
      <c r="A4" s="17" t="s">
        <v>9</v>
      </c>
      <c r="B4" s="11">
        <v>3</v>
      </c>
      <c r="C4" s="11">
        <f>COUNTIF(Checklist!D4:D6,"Pendiente")</f>
        <v>3</v>
      </c>
      <c r="D4" s="11">
        <f>COUNTIF(Checklist!D4:D6,"En progreso")</f>
        <v>0</v>
      </c>
      <c r="E4" s="11">
        <f>COUNTIF(Checklist!D4:D6,"Completada")</f>
        <v>0</v>
      </c>
      <c r="F4" s="11">
        <f>COUNTIF(Checklist!D4:D6,"No aplica")</f>
        <v>0</v>
      </c>
    </row>
    <row r="5" spans="1:6" x14ac:dyDescent="0.25">
      <c r="A5" s="18" t="s">
        <v>14</v>
      </c>
      <c r="B5" s="14">
        <v>5</v>
      </c>
      <c r="C5" s="14">
        <f>COUNTIF(Checklist!D7:D11,"Pendiente")</f>
        <v>5</v>
      </c>
      <c r="D5" s="14">
        <f>COUNTIF(Checklist!D7:D11,"En progreso")</f>
        <v>0</v>
      </c>
      <c r="E5" s="14">
        <f>COUNTIF(Checklist!D7:D11,"Completada")</f>
        <v>0</v>
      </c>
      <c r="F5" s="14">
        <f>COUNTIF(Checklist!D7:D11,"No aplica")</f>
        <v>0</v>
      </c>
    </row>
    <row r="6" spans="1:6" x14ac:dyDescent="0.25">
      <c r="A6" s="17" t="s">
        <v>20</v>
      </c>
      <c r="B6" s="11">
        <v>5</v>
      </c>
      <c r="C6" s="11">
        <f>COUNTIF(Checklist!D12:D16,"Pendiente")</f>
        <v>5</v>
      </c>
      <c r="D6" s="11">
        <f>COUNTIF(Checklist!D12:D16,"En progreso")</f>
        <v>0</v>
      </c>
      <c r="E6" s="11">
        <f>COUNTIF(Checklist!D12:D16,"Completada")</f>
        <v>0</v>
      </c>
      <c r="F6" s="11">
        <f>COUNTIF(Checklist!D12:D16,"No aplica")</f>
        <v>0</v>
      </c>
    </row>
    <row r="7" spans="1:6" x14ac:dyDescent="0.25">
      <c r="A7" s="18" t="s">
        <v>26</v>
      </c>
      <c r="B7" s="14">
        <v>3</v>
      </c>
      <c r="C7" s="14">
        <f>COUNTIF(Checklist!D17:D19,"Pendiente")</f>
        <v>3</v>
      </c>
      <c r="D7" s="14">
        <f>COUNTIF(Checklist!D17:D19,"En progreso")</f>
        <v>0</v>
      </c>
      <c r="E7" s="14">
        <f>COUNTIF(Checklist!D17:D19,"Completada")</f>
        <v>0</v>
      </c>
      <c r="F7" s="14">
        <f>COUNTIF(Checklist!D17:D19,"No aplica")</f>
        <v>0</v>
      </c>
    </row>
    <row r="8" spans="1:6" x14ac:dyDescent="0.25">
      <c r="A8" s="17" t="s">
        <v>30</v>
      </c>
      <c r="B8" s="11">
        <v>2</v>
      </c>
      <c r="C8" s="11">
        <f>COUNTIF(Checklist!D20:D21,"Pendiente")</f>
        <v>2</v>
      </c>
      <c r="D8" s="11">
        <f>COUNTIF(Checklist!D20:D21,"En progreso")</f>
        <v>0</v>
      </c>
      <c r="E8" s="11">
        <f>COUNTIF(Checklist!D20:D21,"Completada")</f>
        <v>0</v>
      </c>
      <c r="F8" s="11">
        <f>COUNTIF(Checklist!D20:D21,"No aplica")</f>
        <v>0</v>
      </c>
    </row>
    <row r="9" spans="1:6" x14ac:dyDescent="0.25">
      <c r="A9" s="18" t="s">
        <v>33</v>
      </c>
      <c r="B9" s="14">
        <v>5</v>
      </c>
      <c r="C9" s="14">
        <f>COUNTIF(Checklist!D22:D26,"Pendiente")</f>
        <v>5</v>
      </c>
      <c r="D9" s="14">
        <f>COUNTIF(Checklist!D22:D26,"En progreso")</f>
        <v>0</v>
      </c>
      <c r="E9" s="14">
        <f>COUNTIF(Checklist!D22:D26,"Completada")</f>
        <v>0</v>
      </c>
      <c r="F9" s="14">
        <f>COUNTIF(Checklist!D22:D26,"No aplica")</f>
        <v>0</v>
      </c>
    </row>
    <row r="10" spans="1:6" x14ac:dyDescent="0.25">
      <c r="A10" s="15" t="s">
        <v>45</v>
      </c>
      <c r="B10" s="16">
        <f>SUM(B4:B9)</f>
        <v>23</v>
      </c>
      <c r="C10" s="16">
        <f>SUM(C4:C9)</f>
        <v>23</v>
      </c>
      <c r="D10" s="16">
        <f>SUM(D4:D9)</f>
        <v>0</v>
      </c>
      <c r="E10" s="16">
        <f>SUM(E4:E9)</f>
        <v>0</v>
      </c>
      <c r="F10" s="16">
        <f>SUM(F4:F9)</f>
        <v>0</v>
      </c>
    </row>
    <row r="12" spans="1:6" ht="15" customHeight="1" x14ac:dyDescent="0.25">
      <c r="A12" s="1" t="s">
        <v>46</v>
      </c>
      <c r="B12" s="1"/>
      <c r="C12" s="1"/>
      <c r="D12" s="1"/>
      <c r="E12" s="1"/>
      <c r="F12" s="1"/>
    </row>
  </sheetData>
  <mergeCells count="3">
    <mergeCell ref="A1:F1"/>
    <mergeCell ref="A2:F2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zoomScaleNormal="100" workbookViewId="0"/>
  </sheetViews>
  <sheetFormatPr baseColWidth="10" defaultColWidth="8.7109375" defaultRowHeight="15" x14ac:dyDescent="0.25"/>
  <cols>
    <col min="1" max="1" width="20" customWidth="1"/>
    <col min="2" max="2" width="78" customWidth="1"/>
  </cols>
  <sheetData>
    <row r="1" spans="1:2" ht="17.100000000000001" customHeight="1" x14ac:dyDescent="0.25">
      <c r="A1" s="7" t="s">
        <v>0</v>
      </c>
      <c r="B1" s="7"/>
    </row>
    <row r="2" spans="1:2" ht="15" customHeight="1" x14ac:dyDescent="0.25">
      <c r="A2" s="6" t="s">
        <v>47</v>
      </c>
      <c r="B2" s="6"/>
    </row>
    <row r="3" spans="1:2" x14ac:dyDescent="0.25">
      <c r="A3" s="8" t="s">
        <v>48</v>
      </c>
      <c r="B3" s="8" t="s">
        <v>49</v>
      </c>
    </row>
    <row r="4" spans="1:2" ht="42" customHeight="1" x14ac:dyDescent="0.25">
      <c r="A4" s="19" t="s">
        <v>2</v>
      </c>
      <c r="B4" s="10" t="s">
        <v>50</v>
      </c>
    </row>
    <row r="5" spans="1:2" ht="42" customHeight="1" x14ac:dyDescent="0.25">
      <c r="A5" s="20" t="s">
        <v>3</v>
      </c>
      <c r="B5" s="13" t="s">
        <v>51</v>
      </c>
    </row>
    <row r="6" spans="1:2" ht="42" customHeight="1" x14ac:dyDescent="0.25">
      <c r="A6" s="19" t="s">
        <v>4</v>
      </c>
      <c r="B6" s="10" t="s">
        <v>52</v>
      </c>
    </row>
    <row r="7" spans="1:2" ht="42" customHeight="1" x14ac:dyDescent="0.25">
      <c r="A7" s="20" t="s">
        <v>5</v>
      </c>
      <c r="B7" s="13" t="s">
        <v>53</v>
      </c>
    </row>
    <row r="8" spans="1:2" ht="42" customHeight="1" x14ac:dyDescent="0.25">
      <c r="A8" s="19" t="s">
        <v>6</v>
      </c>
      <c r="B8" s="10" t="s">
        <v>54</v>
      </c>
    </row>
    <row r="9" spans="1:2" ht="42" customHeight="1" x14ac:dyDescent="0.25">
      <c r="A9" s="20" t="s">
        <v>7</v>
      </c>
      <c r="B9" s="13" t="s">
        <v>55</v>
      </c>
    </row>
    <row r="10" spans="1:2" ht="42" customHeight="1" x14ac:dyDescent="0.25">
      <c r="A10" s="19" t="s">
        <v>8</v>
      </c>
      <c r="B10" s="10" t="s">
        <v>56</v>
      </c>
    </row>
    <row r="12" spans="1:2" ht="42" customHeight="1" x14ac:dyDescent="0.25">
      <c r="A12" s="21" t="s">
        <v>57</v>
      </c>
      <c r="B12" s="22" t="s">
        <v>58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2026-09-22T23:05:22Z</dcterms:created>
  <dcterms:modified xsi:type="dcterms:W3CDTF">2026-09-22T23:27:02Z</dcterms:modified>
  <dc:language>en-US</dc:language>
</cp:coreProperties>
</file>