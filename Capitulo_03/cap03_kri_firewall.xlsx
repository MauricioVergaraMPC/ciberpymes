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RI Firewall" sheetId="1" state="visible" r:id="rId3"/>
    <sheet name="Dashboard" sheetId="2" state="visible" r:id="rId4"/>
    <sheet name="Instructiv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<sst xmlns="http://schemas.openxmlformats.org/spreadsheetml/2006/main" count="76" uniqueCount="71">
  <si>
    <t xml:space="preserve">Indicadores Clave de Riesgo (KRI) — Firewall</t>
  </si>
  <si>
    <t xml:space="preserve">Capítulo 3 · Ciberprotección para PyMES · Función de Detección · NIST CSF 2.0</t>
  </si>
  <si>
    <t xml:space="preserve">ID</t>
  </si>
  <si>
    <t xml:space="preserve">Indicador (KRI)</t>
  </si>
  <si>
    <t xml:space="preserve">Descripción</t>
  </si>
  <si>
    <t xml:space="preserve">Umbral de Alerta</t>
  </si>
  <si>
    <t xml:space="preserve">Valor Actual</t>
  </si>
  <si>
    <t xml:space="preserve">Estado</t>
  </si>
  <si>
    <t xml:space="preserve">Acción Esperada</t>
  </si>
  <si>
    <t xml:space="preserve">Responsable</t>
  </si>
  <si>
    <t xml:space="preserve">Fecha de Revisión</t>
  </si>
  <si>
    <t xml:space="preserve">KRI-FW-01</t>
  </si>
  <si>
    <t xml:space="preserve">Intentos de acceso bloqueados</t>
  </si>
  <si>
    <t xml:space="preserve">Conexiones rechazadas por las reglas del firewall en 24 horas</t>
  </si>
  <si>
    <t xml:space="preserve">Incremento &gt;30% respecto al promedio de los últimos 7 días</t>
  </si>
  <si>
    <t xml:space="preserve">Revisar logs, identificar origen, evaluar bloqueo permanente</t>
  </si>
  <si>
    <t xml:space="preserve">KRI-FW-02</t>
  </si>
  <si>
    <t xml:space="preserve">Intentos fallidos de autenticación en consola</t>
  </si>
  <si>
    <t xml:space="preserve">Intentos de inicio de sesión fallidos sobre la interfaz de administración</t>
  </si>
  <si>
    <t xml:space="preserve">&gt;5 intentos en &lt;10 min desde una misma IP</t>
  </si>
  <si>
    <t xml:space="preserve">Bloquear IP de origen, revisar logs de acceso, notificar al responsable de TI</t>
  </si>
  <si>
    <t xml:space="preserve">KRI-FW-03</t>
  </si>
  <si>
    <t xml:space="preserve">Alertas IDS/IPS activas</t>
  </si>
  <si>
    <t xml:space="preserve">Alertas generadas por el motor de detección de intrusiones en 24 horas</t>
  </si>
  <si>
    <t xml:space="preserve">&gt;10 alertas severidad media o &gt;1 alerta severidad alta</t>
  </si>
  <si>
    <t xml:space="preserve">Clasificar alertas, priorizar las de alta severidad, iniciar investigación</t>
  </si>
  <si>
    <t xml:space="preserve">KRI-FW-04</t>
  </si>
  <si>
    <t xml:space="preserve">Reglas sin tráfico en 90 días</t>
  </si>
  <si>
    <t xml:space="preserve">Reglas del ruleset que no han procesado ningún paquete en el período</t>
  </si>
  <si>
    <t xml:space="preserve">&gt;10% del total de reglas activas sin uso</t>
  </si>
  <si>
    <t xml:space="preserve">Revisar y depurar ruleset; eliminar o deshabilitar reglas obsoletas</t>
  </si>
  <si>
    <t xml:space="preserve">KRI-FW-05</t>
  </si>
  <si>
    <t xml:space="preserve">Días desde última actualización de firmware</t>
  </si>
  <si>
    <t xml:space="preserve">Tiempo transcurrido desde la última actualización del SO del firewall</t>
  </si>
  <si>
    <t xml:space="preserve">&gt;90 días sin actualización</t>
  </si>
  <si>
    <t xml:space="preserve">Evaluar actualizaciones del fabricante; programar ventana de mantenimiento</t>
  </si>
  <si>
    <t xml:space="preserve">KRI-FW-06</t>
  </si>
  <si>
    <t xml:space="preserve">Días desde última revisión del ruleset</t>
  </si>
  <si>
    <t xml:space="preserve">Tiempo desde la última auditoría formal de reglas del firewall</t>
  </si>
  <si>
    <t xml:space="preserve">&gt;180 días sin revisión formal</t>
  </si>
  <si>
    <t xml:space="preserve">Programar revisión de reglas; comparar contra política de puertos aprobada</t>
  </si>
  <si>
    <t xml:space="preserve">KRI-FW-07</t>
  </si>
  <si>
    <t xml:space="preserve">Sesiones VPN concurrentes activas</t>
  </si>
  <si>
    <t xml:space="preserve">Número de túneles VPN activos simultáneamente</t>
  </si>
  <si>
    <t xml:space="preserve">&gt;80% de la capacidad licenciada o configurada</t>
  </si>
  <si>
    <t xml:space="preserve">Revisar sesiones activas, identificar conexiones inusuales o de larga duración</t>
  </si>
  <si>
    <t xml:space="preserve">⚙  El campo "Estado" admite los valores: OK · Alerta · Crítico · —  (seleccionar desde el menú desplegable de cada celda)</t>
  </si>
  <si>
    <t xml:space="preserve">Dashboard · KRI Firewall</t>
  </si>
  <si>
    <t xml:space="preserve">Resumen de estado de indicadores — actualización manual</t>
  </si>
  <si>
    <t xml:space="preserve">Total KRI</t>
  </si>
  <si>
    <t xml:space="preserve">OK</t>
  </si>
  <si>
    <t xml:space="preserve">Alerta</t>
  </si>
  <si>
    <t xml:space="preserve">Crítico</t>
  </si>
  <si>
    <t xml:space="preserve">Sin estado</t>
  </si>
  <si>
    <t xml:space="preserve">Fecha Revisión</t>
  </si>
  <si>
    <t xml:space="preserve">Actualizar los valores en la hoja «KRI Firewall». Este dashboard se recalcula automáticamente.</t>
  </si>
  <si>
    <t xml:space="preserve">Instructivo de uso · Plantilla KRI Firewall</t>
  </si>
  <si>
    <t xml:space="preserve">Propósito</t>
  </si>
  <si>
    <t xml:space="preserve">Esta plantilla permite registrar y hacer seguimiento a los Indicadores Clave de Riesgo (KRI) del servicio de firewall, según lo definido en la Función de Detección del capítulo 3.</t>
  </si>
  <si>
    <t xml:space="preserve">Hoja KRI Firewall</t>
  </si>
  <si>
    <t xml:space="preserve">Registro principal. Completar las columnas «Valor Actual», «Estado», «Responsable» y «Fecha de Revisión» en cada ciclo de revisión (semanal para KRI-FW-01 a KRI-FW-03; mensual para KRI-FW-04 a KRI-FW-07).</t>
  </si>
  <si>
    <t xml:space="preserve">Columna Estado</t>
  </si>
  <si>
    <t xml:space="preserve">Seleccionar desde el menú desplegable: OK (dentro del umbral), Alerta (cerca del límite), Crítico (umbral superado, acción inmediata requerida), — (sin dato disponible aún).</t>
  </si>
  <si>
    <t xml:space="preserve">Hoja Dashboard</t>
  </si>
  <si>
    <t xml:space="preserve">Vista ejecutiva con conteo automático de estados. Se actualiza al modificar la hoja principal. No editar directamente; los datos provienen de fórmulas vinculadas.</t>
  </si>
  <si>
    <t xml:space="preserve">Frecuencia de revisión</t>
  </si>
  <si>
    <t xml:space="preserve">Semanal: KRI-FW-01, KRI-FW-02, KRI-FW-03. Mensual: KRI-FW-04, KRI-FW-05, KRI-FW-06, KRI-FW-07. Programar en el Calendario NSOC (ver capítulo 1).</t>
  </si>
  <si>
    <t xml:space="preserve">Personalización de umbrales</t>
  </si>
  <si>
    <t xml:space="preserve">Los umbrales incluidos son referencias orientativas para entornos PyME. Ajustar según la línea base propia de la organización (volumen de tráfico normal, capacidad VPN, política de actualizaciones vigente).</t>
  </si>
  <si>
    <t xml:space="preserve">Nombre del archivo</t>
  </si>
  <si>
    <t xml:space="preserve">Convención recomendada: cap03_kri_firewall_AAAA-MM.xlsx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</si>
</sst>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20"/>
      <color rgb="FF185FA5"/>
      <name val="Arial"/>
      <family val="0"/>
      <charset val="1"/>
    </font>
    <font>
      <b val="true"/>
      <sz val="20"/>
      <color rgb="FF3B6D11"/>
      <name val="Arial"/>
      <family val="0"/>
      <charset val="1"/>
    </font>
    <font>
      <b val="true"/>
      <sz val="20"/>
      <color rgb="FFBA7517"/>
      <name val="Arial"/>
      <family val="0"/>
      <charset val="1"/>
    </font>
    <font>
      <b val="true"/>
      <sz val="20"/>
      <color rgb="FFA32D2D"/>
      <name val="Arial"/>
      <family val="0"/>
      <charset val="1"/>
    </font>
    <font>
      <b val="true"/>
      <sz val="20"/>
      <color rgb="FF5F5E5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B5D4F4"/>
        <bgColor rgb="FF99CCFF"/>
      </patternFill>
    </fill>
    <fill>
      <patternFill patternType="solid">
        <fgColor rgb="FFFFFFFF"/>
        <bgColor rgb="FFF5F8FC"/>
      </patternFill>
    </fill>
    <fill>
      <patternFill patternType="solid">
        <fgColor rgb="FFF5F8FC"/>
        <bgColor rgb="FFFFFFFF"/>
      </patternFill>
    </fill>
    <fill>
      <patternFill patternType="solid">
        <fgColor rgb="FF3B6D11"/>
        <bgColor rgb="FF5F5E5A"/>
      </patternFill>
    </fill>
    <fill>
      <patternFill patternType="solid">
        <fgColor rgb="FFBA7517"/>
        <bgColor rgb="FFFF6600"/>
      </patternFill>
    </fill>
    <fill>
      <patternFill patternType="solid">
        <fgColor rgb="FFA32D2D"/>
        <bgColor rgb="FF993366"/>
      </patternFill>
    </fill>
    <fill>
      <patternFill patternType="solid">
        <fgColor rgb="FF5F5E5A"/>
        <bgColor rgb="FF3B6D1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5F8FC"/>
      <rgbColor rgb="FFCCFFFF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2" hidden="false" customHeight="tru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4"/>
      <c r="F5" s="4"/>
      <c r="G5" s="5" t="s">
        <v>15</v>
      </c>
      <c r="H5" s="5"/>
      <c r="I5" s="4"/>
    </row>
    <row r="6" customFormat="false" ht="42" hidden="false" customHeight="true" outlineLevel="0" collapsed="false">
      <c r="A6" s="6" t="s">
        <v>16</v>
      </c>
      <c r="B6" s="7" t="s">
        <v>17</v>
      </c>
      <c r="C6" s="7" t="s">
        <v>18</v>
      </c>
      <c r="D6" s="7" t="s">
        <v>19</v>
      </c>
      <c r="E6" s="6"/>
      <c r="F6" s="6"/>
      <c r="G6" s="7" t="s">
        <v>20</v>
      </c>
      <c r="H6" s="7"/>
      <c r="I6" s="6"/>
    </row>
    <row r="7" customFormat="false" ht="42" hidden="false" customHeight="true" outlineLevel="0" collapsed="false">
      <c r="A7" s="4" t="s">
        <v>21</v>
      </c>
      <c r="B7" s="5" t="s">
        <v>22</v>
      </c>
      <c r="C7" s="5" t="s">
        <v>23</v>
      </c>
      <c r="D7" s="5" t="s">
        <v>24</v>
      </c>
      <c r="E7" s="4"/>
      <c r="F7" s="4"/>
      <c r="G7" s="5" t="s">
        <v>25</v>
      </c>
      <c r="H7" s="5"/>
      <c r="I7" s="4"/>
    </row>
    <row r="8" customFormat="false" ht="42" hidden="false" customHeight="true" outlineLevel="0" collapsed="false">
      <c r="A8" s="6" t="s">
        <v>26</v>
      </c>
      <c r="B8" s="7" t="s">
        <v>27</v>
      </c>
      <c r="C8" s="7" t="s">
        <v>28</v>
      </c>
      <c r="D8" s="7" t="s">
        <v>29</v>
      </c>
      <c r="E8" s="6"/>
      <c r="F8" s="6"/>
      <c r="G8" s="7" t="s">
        <v>30</v>
      </c>
      <c r="H8" s="7"/>
      <c r="I8" s="6"/>
    </row>
    <row r="9" customFormat="false" ht="42" hidden="false" customHeight="true" outlineLevel="0" collapsed="false">
      <c r="A9" s="4" t="s">
        <v>31</v>
      </c>
      <c r="B9" s="5" t="s">
        <v>32</v>
      </c>
      <c r="C9" s="5" t="s">
        <v>33</v>
      </c>
      <c r="D9" s="5" t="s">
        <v>34</v>
      </c>
      <c r="E9" s="4"/>
      <c r="F9" s="4"/>
      <c r="G9" s="5" t="s">
        <v>35</v>
      </c>
      <c r="H9" s="5"/>
      <c r="I9" s="4"/>
    </row>
    <row r="10" customFormat="false" ht="42" hidden="false" customHeight="true" outlineLevel="0" collapsed="false">
      <c r="A10" s="6" t="s">
        <v>36</v>
      </c>
      <c r="B10" s="7" t="s">
        <v>37</v>
      </c>
      <c r="C10" s="7" t="s">
        <v>38</v>
      </c>
      <c r="D10" s="7" t="s">
        <v>39</v>
      </c>
      <c r="E10" s="6"/>
      <c r="F10" s="6"/>
      <c r="G10" s="7" t="s">
        <v>40</v>
      </c>
      <c r="H10" s="7"/>
      <c r="I10" s="6"/>
    </row>
    <row r="11" customFormat="false" ht="42" hidden="false" customHeight="true" outlineLevel="0" collapsed="false">
      <c r="A11" s="4" t="s">
        <v>41</v>
      </c>
      <c r="B11" s="5" t="s">
        <v>42</v>
      </c>
      <c r="C11" s="5" t="s">
        <v>43</v>
      </c>
      <c r="D11" s="5" t="s">
        <v>44</v>
      </c>
      <c r="E11" s="4"/>
      <c r="F11" s="4"/>
      <c r="G11" s="5" t="s">
        <v>45</v>
      </c>
      <c r="H11" s="5"/>
      <c r="I11" s="4"/>
    </row>
    <row r="13" customFormat="false" ht="15.75" hidden="false" customHeight="true" outlineLevel="0" collapsed="false">
      <c r="A13" s="8" t="s">
        <v>46</v>
      </c>
      <c r="B13" s="8"/>
      <c r="C13" s="8"/>
      <c r="D13" s="8"/>
      <c r="E13" s="8"/>
      <c r="F13" s="8"/>
      <c r="G13" s="8"/>
      <c r="H13" s="8"/>
      <c r="I13" s="8"/>
    </row>
  </sheetData>
  <mergeCells count="3">
    <mergeCell ref="A1:I1"/>
    <mergeCell ref="A2:I2"/>
    <mergeCell ref="A13:I13"/>
  </mergeCells>
  <dataValidations count="1">
    <dataValidation allowBlank="true" errorStyle="stop" operator="between" showDropDown="false" showErrorMessage="false" showInputMessage="false" sqref="F5:F11" type="list">
      <formula1>"OK,Alerta,Crítico,—"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48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9" t="s">
        <v>49</v>
      </c>
      <c r="B4" s="10" t="s">
        <v>50</v>
      </c>
      <c r="C4" s="11" t="s">
        <v>51</v>
      </c>
      <c r="D4" s="12" t="s">
        <v>52</v>
      </c>
      <c r="E4" s="13" t="s">
        <v>53</v>
      </c>
    </row>
    <row r="5" customFormat="false" ht="39.75" hidden="false" customHeight="true" outlineLevel="0" collapsed="false">
      <c r="A5" s="14" t="n">
        <f aca="false">COUNTA('KRI Firewall'!A5:A11)</f>
        <v>7</v>
      </c>
      <c r="B5" s="15" t="n">
        <f aca="false">COUNTIF('KRI Firewall'!F5:F11,"OK")</f>
        <v>0</v>
      </c>
      <c r="C5" s="16" t="n">
        <f aca="false">COUNTIF('KRI Firewall'!F5:F11,"Alerta")</f>
        <v>0</v>
      </c>
      <c r="D5" s="17" t="n">
        <f aca="false">COUNTIF('KRI Firewall'!F5:F11,"Crítico")</f>
        <v>0</v>
      </c>
      <c r="E5" s="18" t="n">
        <f aca="false">COUNTIF('KRI Firewall'!F5:F11,"—")+COUNTBLANK('KRI Firewall'!F5:F11)</f>
        <v>7</v>
      </c>
    </row>
    <row r="7" customFormat="false" ht="7.5" hidden="false" customHeight="true" outlineLevel="0" collapsed="false"/>
    <row r="8" customFormat="false" ht="24" hidden="false" customHeight="true" outlineLevel="0" collapsed="false">
      <c r="A8" s="3" t="s">
        <v>2</v>
      </c>
      <c r="B8" s="3" t="s">
        <v>3</v>
      </c>
      <c r="C8" s="3" t="s">
        <v>6</v>
      </c>
      <c r="D8" s="3" t="s">
        <v>7</v>
      </c>
      <c r="E8" s="3" t="s">
        <v>9</v>
      </c>
      <c r="F8" s="3" t="s">
        <v>54</v>
      </c>
    </row>
    <row r="9" customFormat="false" ht="21.75" hidden="false" customHeight="true" outlineLevel="0" collapsed="false">
      <c r="A9" s="19" t="str">
        <f aca="false">'KRI Firewall'!A5</f>
        <v>KRI-FW-01</v>
      </c>
      <c r="B9" s="5" t="str">
        <f aca="false">'KRI Firewall'!B5</f>
        <v>Intentos de acceso bloqueados</v>
      </c>
      <c r="C9" s="19" t="n">
        <f aca="false">'KRI Firewall'!E5</f>
        <v>0</v>
      </c>
      <c r="D9" s="19" t="n">
        <f aca="false">'KRI Firewall'!F5</f>
        <v>0</v>
      </c>
      <c r="E9" s="5" t="n">
        <f aca="false">'KRI Firewall'!H5</f>
        <v>0</v>
      </c>
      <c r="F9" s="19" t="n">
        <f aca="false">'KRI Firewall'!I5</f>
        <v>0</v>
      </c>
    </row>
    <row r="10" customFormat="false" ht="21.75" hidden="false" customHeight="true" outlineLevel="0" collapsed="false">
      <c r="A10" s="20" t="str">
        <f aca="false">'KRI Firewall'!A6</f>
        <v>KRI-FW-02</v>
      </c>
      <c r="B10" s="7" t="str">
        <f aca="false">'KRI Firewall'!B6</f>
        <v>Intentos fallidos de autenticación en consola</v>
      </c>
      <c r="C10" s="20" t="n">
        <f aca="false">'KRI Firewall'!E6</f>
        <v>0</v>
      </c>
      <c r="D10" s="20" t="n">
        <f aca="false">'KRI Firewall'!F6</f>
        <v>0</v>
      </c>
      <c r="E10" s="7" t="n">
        <f aca="false">'KRI Firewall'!H6</f>
        <v>0</v>
      </c>
      <c r="F10" s="20" t="n">
        <f aca="false">'KRI Firewall'!I6</f>
        <v>0</v>
      </c>
    </row>
    <row r="11" customFormat="false" ht="21.75" hidden="false" customHeight="true" outlineLevel="0" collapsed="false">
      <c r="A11" s="19" t="str">
        <f aca="false">'KRI Firewall'!A7</f>
        <v>KRI-FW-03</v>
      </c>
      <c r="B11" s="5" t="str">
        <f aca="false">'KRI Firewall'!B7</f>
        <v>Alertas IDS/IPS activas</v>
      </c>
      <c r="C11" s="19" t="n">
        <f aca="false">'KRI Firewall'!E7</f>
        <v>0</v>
      </c>
      <c r="D11" s="19" t="n">
        <f aca="false">'KRI Firewall'!F7</f>
        <v>0</v>
      </c>
      <c r="E11" s="5" t="n">
        <f aca="false">'KRI Firewall'!H7</f>
        <v>0</v>
      </c>
      <c r="F11" s="19" t="n">
        <f aca="false">'KRI Firewall'!I7</f>
        <v>0</v>
      </c>
    </row>
    <row r="12" customFormat="false" ht="21.75" hidden="false" customHeight="true" outlineLevel="0" collapsed="false">
      <c r="A12" s="20" t="str">
        <f aca="false">'KRI Firewall'!A8</f>
        <v>KRI-FW-04</v>
      </c>
      <c r="B12" s="7" t="str">
        <f aca="false">'KRI Firewall'!B8</f>
        <v>Reglas sin tráfico en 90 días</v>
      </c>
      <c r="C12" s="20" t="n">
        <f aca="false">'KRI Firewall'!E8</f>
        <v>0</v>
      </c>
      <c r="D12" s="20" t="n">
        <f aca="false">'KRI Firewall'!F8</f>
        <v>0</v>
      </c>
      <c r="E12" s="7" t="n">
        <f aca="false">'KRI Firewall'!H8</f>
        <v>0</v>
      </c>
      <c r="F12" s="20" t="n">
        <f aca="false">'KRI Firewall'!I8</f>
        <v>0</v>
      </c>
    </row>
    <row r="13" customFormat="false" ht="21.75" hidden="false" customHeight="true" outlineLevel="0" collapsed="false">
      <c r="A13" s="19" t="str">
        <f aca="false">'KRI Firewall'!A9</f>
        <v>KRI-FW-05</v>
      </c>
      <c r="B13" s="5" t="str">
        <f aca="false">'KRI Firewall'!B9</f>
        <v>Días desde última actualización de firmware</v>
      </c>
      <c r="C13" s="19" t="n">
        <f aca="false">'KRI Firewall'!E9</f>
        <v>0</v>
      </c>
      <c r="D13" s="19" t="n">
        <f aca="false">'KRI Firewall'!F9</f>
        <v>0</v>
      </c>
      <c r="E13" s="5" t="n">
        <f aca="false">'KRI Firewall'!H9</f>
        <v>0</v>
      </c>
      <c r="F13" s="19" t="n">
        <f aca="false">'KRI Firewall'!I9</f>
        <v>0</v>
      </c>
    </row>
    <row r="14" customFormat="false" ht="21.75" hidden="false" customHeight="true" outlineLevel="0" collapsed="false">
      <c r="A14" s="20" t="str">
        <f aca="false">'KRI Firewall'!A10</f>
        <v>KRI-FW-06</v>
      </c>
      <c r="B14" s="7" t="str">
        <f aca="false">'KRI Firewall'!B10</f>
        <v>Días desde última revisión del ruleset</v>
      </c>
      <c r="C14" s="20" t="n">
        <f aca="false">'KRI Firewall'!E10</f>
        <v>0</v>
      </c>
      <c r="D14" s="20" t="n">
        <f aca="false">'KRI Firewall'!F10</f>
        <v>0</v>
      </c>
      <c r="E14" s="7" t="n">
        <f aca="false">'KRI Firewall'!H10</f>
        <v>0</v>
      </c>
      <c r="F14" s="20" t="n">
        <f aca="false">'KRI Firewall'!I10</f>
        <v>0</v>
      </c>
    </row>
    <row r="15" customFormat="false" ht="21.75" hidden="false" customHeight="true" outlineLevel="0" collapsed="false">
      <c r="A15" s="19" t="str">
        <f aca="false">'KRI Firewall'!A11</f>
        <v>KRI-FW-07</v>
      </c>
      <c r="B15" s="5" t="str">
        <f aca="false">'KRI Firewall'!B11</f>
        <v>Sesiones VPN concurrentes activas</v>
      </c>
      <c r="C15" s="19" t="n">
        <f aca="false">'KRI Firewall'!E11</f>
        <v>0</v>
      </c>
      <c r="D15" s="19" t="n">
        <f aca="false">'KRI Firewall'!F11</f>
        <v>0</v>
      </c>
      <c r="E15" s="5" t="n">
        <f aca="false">'KRI Firewall'!H11</f>
        <v>0</v>
      </c>
      <c r="F15" s="19" t="n">
        <f aca="false">'KRI Firewall'!I11</f>
        <v>0</v>
      </c>
    </row>
    <row r="17" customFormat="false" ht="15" hidden="false" customHeight="false" outlineLevel="0" collapsed="false">
      <c r="A17" s="21" t="s">
        <v>55</v>
      </c>
      <c r="B17" s="21"/>
      <c r="C17" s="21"/>
      <c r="D17" s="21"/>
      <c r="E17" s="21"/>
      <c r="F17" s="21"/>
    </row>
  </sheetData>
  <mergeCells count="3">
    <mergeCell ref="A1:F1"/>
    <mergeCell ref="A2:F2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22" t="s">
        <v>56</v>
      </c>
      <c r="B1" s="22"/>
    </row>
    <row r="3" customFormat="false" ht="51.75" hidden="false" customHeight="true" outlineLevel="0" collapsed="false">
      <c r="A3" s="23" t="s">
        <v>57</v>
      </c>
      <c r="B3" s="24" t="s">
        <v>58</v>
      </c>
    </row>
    <row r="4" customFormat="false" ht="51.75" hidden="false" customHeight="true" outlineLevel="0" collapsed="false">
      <c r="A4" s="25" t="s">
        <v>59</v>
      </c>
      <c r="B4" s="26" t="s">
        <v>60</v>
      </c>
    </row>
    <row r="5" customFormat="false" ht="51.75" hidden="false" customHeight="true" outlineLevel="0" collapsed="false">
      <c r="A5" s="23" t="s">
        <v>61</v>
      </c>
      <c r="B5" s="24" t="s">
        <v>62</v>
      </c>
    </row>
    <row r="6" customFormat="false" ht="51.75" hidden="false" customHeight="true" outlineLevel="0" collapsed="false">
      <c r="A6" s="25" t="s">
        <v>63</v>
      </c>
      <c r="B6" s="26" t="s">
        <v>64</v>
      </c>
    </row>
    <row r="7" customFormat="false" ht="51.75" hidden="false" customHeight="true" outlineLevel="0" collapsed="false">
      <c r="A7" s="23" t="s">
        <v>65</v>
      </c>
      <c r="B7" s="24" t="s">
        <v>66</v>
      </c>
    </row>
    <row r="8" customFormat="false" ht="51.75" hidden="false" customHeight="true" outlineLevel="0" collapsed="false">
      <c r="A8" s="25" t="s">
        <v>67</v>
      </c>
      <c r="B8" s="26" t="s">
        <v>68</v>
      </c>
    </row>
    <row r="9" customFormat="false" ht="51.75" hidden="false" customHeight="true" outlineLevel="0" collapsed="false">
      <c r="A9" s="23" t="s">
        <v>69</v>
      </c>
      <c r="B9" s="24" t="s">
        <v>70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2026-05-06T12:44:03Z</dcterms:created>
  <dc:creator>openpyxl</dc:creator>
  <dc:description/>
  <dc:language>en-US</dc:language>
  <cp:lastModifiedBy/>
  <dcterms:modified xsi:type="dcterms:W3CDTF">2026-05-06T12:44:03Z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