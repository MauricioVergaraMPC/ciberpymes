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penitsoft-my.sharepoint.com/personal/mvergara_openitnet_com/Documents/Desktop/"/>
    </mc:Choice>
  </mc:AlternateContent>
  <xr:revisionPtr revIDLastSave="1" documentId="11_2EEC60AF00939C513113F00DB13C0D82B656FCFC" xr6:coauthVersionLast="47" xr6:coauthVersionMax="47" xr10:uidLastSave="{BF716D6F-EA12-4AE5-98F3-72A0CFFF5B31}"/>
  <bookViews>
    <workbookView xWindow="32805" yWindow="1305" windowWidth="22275" windowHeight="13665" tabRatio="500" xr2:uid="{00000000-000D-0000-FFFF-FFFF00000000}"/>
  </bookViews>
  <sheets>
    <sheet name="Inventario" sheetId="1" r:id="rId1"/>
    <sheet name="Dashboard" sheetId="2" r:id="rId2"/>
    <sheet name="Instructivo"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2" l="1"/>
  <c r="B6" i="2"/>
  <c r="C6" i="2" s="1"/>
  <c r="B5" i="2"/>
  <c r="C5" i="2" s="1"/>
  <c r="B4" i="2"/>
  <c r="C4" i="2" s="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<sst xmlns="http://schemas.openxmlformats.org/spreadsheetml/2006/main" count="48" uniqueCount="44">
  <si>
    <t>CIBERPROTECCIÓN PARA PyMES  ·  Capítulo 3 — Firewall</t>
  </si>
  <si>
    <t>Inventario de Servicios y Puertos Expuestos hacia Internet</t>
  </si>
  <si>
    <t>Plantilla 3.X — Complete una fila por cada puerto/servicio identificado durante el escaneo externo (perspectiva de atacante). Todo puerto sin justificación documentada debe cerrarse.</t>
  </si>
  <si>
    <t>N°</t>
  </si>
  <si>
    <t>Dirección IP pública</t>
  </si>
  <si>
    <t>Puerto</t>
  </si>
  <si>
    <t>Protocolo</t>
  </si>
  <si>
    <t>Servicio identificado</t>
  </si>
  <si>
    <t>Herramienta de detección</t>
  </si>
  <si>
    <t>Justificación de negocio</t>
  </si>
  <si>
    <t>Responsable</t>
  </si>
  <si>
    <t>Fecha de escaneo</t>
  </si>
  <si>
    <t>Estado</t>
  </si>
  <si>
    <t>Fecha de cierre</t>
  </si>
  <si>
    <t>Observaciones</t>
  </si>
  <si>
    <t>203.0.113.10</t>
  </si>
  <si>
    <t>TCP</t>
  </si>
  <si>
    <t>HTTPS (portal de clientes)</t>
  </si>
  <si>
    <t>Nmap</t>
  </si>
  <si>
    <t>Acceso del portal de clientes al sistema de facturación (Ticket TI-0231)</t>
  </si>
  <si>
    <t>J. Ramírez</t>
  </si>
  <si>
    <t>2026-07-15</t>
  </si>
  <si>
    <t>Justificado</t>
  </si>
  <si>
    <t>Regla revisada en Cap. Identificación §3.2</t>
  </si>
  <si>
    <t>Leyenda: celdas en blanco (filas 6 en adelante) son de libre diligenciamiento. La columna N° se calcula automáticamente al ingresar la Dirección IP. La fila 5 (resaltada) es un ejemplo de referencia; elimine su contenido o sobrescríbalo antes de distribuir el archivo.</t>
  </si>
  <si>
    <t>Dashboard — Estado del Inventario de Puertos Expuestos</t>
  </si>
  <si>
    <t>Cantidad de puertos</t>
  </si>
  <si>
    <t>% del total</t>
  </si>
  <si>
    <t>Referencia</t>
  </si>
  <si>
    <t>Pendiente de revisión</t>
  </si>
  <si>
    <t>Cerrado</t>
  </si>
  <si>
    <t>TOTAL</t>
  </si>
  <si>
    <t>Nota: este dashboard se actualiza automáticamente a partir de la hoja Inventario. Un valor alto en 'Pendiente de revisión' indica puertos expuestos sin justificación de negocio documentada, los cuales deben cerrarse antes de continuar con el diseño de reglas de acceso.</t>
  </si>
  <si>
    <t>Instructivo — Plantilla 3.X: Inventario de Servicios y Puertos Expuestos</t>
  </si>
  <si>
    <t>Objetivo</t>
  </si>
  <si>
    <t>Registrar de forma sistemática los servicios y puertos que la organización expone hacia Internet, identificados mediante un escaneo externo (perspectiva de atacante), y documentar su justificación de negocio antes de proceder al diseño de reglas de acceso.</t>
  </si>
  <si>
    <t>Procedimiento recomendado</t>
  </si>
  <si>
    <t>1. Ejecute un escaneo de puertos desde un equipo externo a la red corporativa utilizando Nmap (https://nmap.org/).
2. Complemente el escaneo consultando el servicio Shodan para confirmar qué puertos y servicios son visibles públicamente para la dirección IP pública de la organización.
3. Registre cada puerto detectado en la hoja Inventario, incluyendo el servicio identificado y la herramienta utilizada.
4. Consulte con el área de negocio o el propietario del sistema correspondiente para obtener la justificación de negocio de cada puerto expuesto.
5. Todo puerto sin justificación documentada debe marcarse como 'Pendiente de revisión' y cerrarse antes de continuar con las demás actividades de configuración.</t>
  </si>
  <si>
    <t>Columnas de la hoja Inventario</t>
  </si>
  <si>
    <t>• N°: se calcula automáticamente.
• Dirección IP pública: IP externa donde se detectó el puerto abierto.
• Puerto / Protocolo: número de puerto y protocolo (TCP, UDP o ambos).
• Servicio identificado: servicio asociado al puerto (p. ej. HTTPS, SSH, RDP).
• Herramienta de detección: Nmap, Shodan, o ambas.
• Justificación de negocio: razón documentada para mantener el puerto abierto.
• Responsable: persona o rol que valida la justificación.
• Fecha de escaneo: fecha en que se ejecutó el escaneo externo.
• Estado: Justificado, Pendiente de revisión o Cerrado.
• Fecha de cierre: fecha en que se cerró el puerto (si aplica).
• Observaciones: información adicional relevante.</t>
  </si>
  <si>
    <t>Uso del resultado</t>
  </si>
  <si>
    <t>El listado resultante de puertos abiertos con su justificación de negocio es el insumo directo para el diseño de reglas de acceso descrito en la Función de Identificación de este capítulo.</t>
  </si>
  <si>
    <t>Frecuencia sugerida</t>
  </si>
  <si>
    <t>Se recomienda repetir este inventario de forma trimestral, o inmediatamente después de cambios significativos en la infraestructura expuesta hacia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</si>
</sst>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3"/>
      <color rgb="FFFFFFFF"/>
      <name val="Calibri"/>
      <charset val="1"/>
    </font>
    <font>
      <b/>
      <sz val="11"/>
      <color rgb="FFFFFFFF"/>
      <name val="Calibri"/>
      <charset val="1"/>
    </font>
    <font>
      <i/>
      <sz val="9"/>
      <color rgb="FF555555"/>
      <name val="Calibri"/>
      <charset val="1"/>
    </font>
    <font>
      <b/>
      <sz val="10"/>
      <color rgb="FFFFFFFF"/>
      <name val="Calibri"/>
      <charset val="1"/>
    </font>
    <font>
      <sz val="10"/>
      <color rgb="FF000000"/>
      <name val="Calibri"/>
      <charset val="1"/>
    </font>
    <font>
      <b/>
      <sz val="11"/>
      <color rgb="FF0F3F6E"/>
      <name val="Calibri"/>
      <charset val="1"/>
    </font>
  </fonts>
  <fills count="8">
    <fill>
      <patternFill patternType="none"/>
    </fill>
    <fill>
      <patternFill patternType="gray125"/>
    </fill>
    <fill>
      <patternFill patternType="solid">
        <fgColor rgb="FF0F3F6E"/>
        <bgColor rgb="FF333399"/>
      </patternFill>
    </fill>
    <fill>
      <patternFill patternType="solid">
        <fgColor rgb="FF185FA5"/>
        <bgColor rgb="FF2E6DA4"/>
      </patternFill>
    </fill>
    <fill>
      <patternFill patternType="solid">
        <fgColor rgb="FFFFF2CC"/>
        <bgColor rgb="FFF5F5F2"/>
      </patternFill>
    </fill>
    <fill>
      <patternFill patternType="solid">
        <fgColor rgb="FFFFFFFF"/>
        <bgColor rgb="FFF5F5F2"/>
      </patternFill>
    </fill>
    <fill>
      <patternFill patternType="solid">
        <fgColor rgb="FFF5F5F2"/>
        <bgColor rgb="FFFFFFFF"/>
      </patternFill>
    </fill>
    <fill>
      <patternFill patternType="solid">
        <fgColor rgb="FF2E6DA4"/>
        <bgColor rgb="FF185FA5"/>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19">
    <xf numFmtId="0" fontId="0" fillId="0" borderId="0" xfId="0"/>
    <xf numFmtId="0" fontId="3" fillId="0" borderId="0" xfId="0" applyFont="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5" fillId="5" borderId="1"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0" fontId="6" fillId="0" borderId="0" xfId="0" applyFont="1"/>
    <xf numFmtId="0" fontId="5" fillId="0" borderId="0" xfId="0" applyFont="1" applyAlignment="1">
      <alignment horizontal="left" vertical="top" wrapText="1"/>
    </xf>
  </cellXfs>
  <cellStyles count="1">
    <cellStyle name="Normal" xfId="0" builtinId="0"/>
  </cellStyles>
  <dxfs count="3">
    <dxf>
      <fill>
        <patternFill>
          <bgColor rgb="FFFFF2CC"/>
        </patternFill>
      </fill>
    </dxf>
    <dxf>
      <fill>
        <patternFill>
          <bgColor rgb="FFD9EAD3"/>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7"/>
      <rgbColor rgb="FF808080"/>
      <rgbColor rgb="FF9999FF"/>
      <rgbColor rgb="FF993366"/>
      <rgbColor rgb="FFFFF2CC"/>
      <rgbColor rgb="FFF5F5F2"/>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8D7DA"/>
      <rgbColor rgb="FF2E6DA4"/>
      <rgbColor rgb="FF33CCCC"/>
      <rgbColor rgb="FF99CC00"/>
      <rgbColor rgb="FFFFCC00"/>
      <rgbColor rgb="FFFF9900"/>
      <rgbColor rgb="FFFF6600"/>
      <rgbColor rgb="FF555555"/>
      <rgbColor rgb="FF969696"/>
      <rgbColor rgb="FF0F3F6E"/>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zoomScaleNormal="100" workbookViewId="0">
      <pane ySplit="4" topLeftCell="A5" activePane="bottomLeft" state="frozen"/>
      <selection pane="bottomLeft" activeCell="A6" sqref="A6"/>
    </sheetView>
  </sheetViews>
  <sheetFormatPr baseColWidth="10" defaultColWidth="8.7109375" defaultRowHeight="15" x14ac:dyDescent="0.25"/>
  <cols>
    <col min="1" max="1" width="5" customWidth="1"/>
    <col min="2" max="2" width="18" customWidth="1"/>
    <col min="3" max="3" width="9" customWidth="1"/>
    <col min="4" max="4" width="11" customWidth="1"/>
    <col min="5" max="6" width="20" customWidth="1"/>
    <col min="7" max="7" width="30" customWidth="1"/>
    <col min="8" max="8" width="16" customWidth="1"/>
    <col min="9" max="9" width="14" customWidth="1"/>
    <col min="10" max="10" width="16" customWidth="1"/>
    <col min="11" max="11" width="14" customWidth="1"/>
    <col min="12" max="12" width="28" customWidth="1"/>
  </cols>
  <sheetData>
    <row r="1" spans="1:12" ht="17.100000000000001" customHeight="1" x14ac:dyDescent="0.25">
      <c r="A1" s="3" t="s">
        <v>0</v>
      </c>
      <c r="B1" s="3"/>
      <c r="C1" s="3"/>
      <c r="D1" s="3"/>
      <c r="E1" s="3"/>
      <c r="F1" s="3"/>
      <c r="G1" s="3"/>
      <c r="H1" s="3"/>
      <c r="I1" s="3"/>
      <c r="J1" s="3"/>
      <c r="K1" s="3"/>
      <c r="L1" s="3"/>
    </row>
    <row r="2" spans="1:12" ht="15" customHeight="1" x14ac:dyDescent="0.25">
      <c r="A2" s="2" t="s">
        <v>1</v>
      </c>
      <c r="B2" s="2"/>
      <c r="C2" s="2"/>
      <c r="D2" s="2"/>
      <c r="E2" s="2"/>
      <c r="F2" s="2"/>
      <c r="G2" s="2"/>
      <c r="H2" s="2"/>
      <c r="I2" s="2"/>
      <c r="J2" s="2"/>
      <c r="K2" s="2"/>
      <c r="L2" s="2"/>
    </row>
    <row r="3" spans="1:12" ht="27.75" customHeight="1" x14ac:dyDescent="0.25">
      <c r="A3" s="1" t="s">
        <v>2</v>
      </c>
      <c r="B3" s="1"/>
      <c r="C3" s="1"/>
      <c r="D3" s="1"/>
      <c r="E3" s="1"/>
      <c r="F3" s="1"/>
      <c r="G3" s="1"/>
      <c r="H3" s="1"/>
      <c r="I3" s="1"/>
      <c r="J3" s="1"/>
      <c r="K3" s="1"/>
      <c r="L3" s="1"/>
    </row>
    <row r="4" spans="1:12" ht="30" customHeight="1" x14ac:dyDescent="0.25">
      <c r="A4" s="6" t="s">
        <v>3</v>
      </c>
      <c r="B4" s="6" t="s">
        <v>4</v>
      </c>
      <c r="C4" s="6" t="s">
        <v>5</v>
      </c>
      <c r="D4" s="6" t="s">
        <v>6</v>
      </c>
      <c r="E4" s="6" t="s">
        <v>7</v>
      </c>
      <c r="F4" s="6" t="s">
        <v>8</v>
      </c>
      <c r="G4" s="6" t="s">
        <v>9</v>
      </c>
      <c r="H4" s="6" t="s">
        <v>10</v>
      </c>
      <c r="I4" s="6" t="s">
        <v>11</v>
      </c>
      <c r="J4" s="6" t="s">
        <v>12</v>
      </c>
      <c r="K4" s="6" t="s">
        <v>13</v>
      </c>
      <c r="L4" s="6" t="s">
        <v>14</v>
      </c>
    </row>
    <row r="5" spans="1:12" ht="30" customHeight="1" x14ac:dyDescent="0.25">
      <c r="A5" s="7">
        <v>1</v>
      </c>
      <c r="B5" s="7" t="s">
        <v>15</v>
      </c>
      <c r="C5" s="7">
        <v>443</v>
      </c>
      <c r="D5" s="7" t="s">
        <v>16</v>
      </c>
      <c r="E5" s="8" t="s">
        <v>17</v>
      </c>
      <c r="F5" s="8" t="s">
        <v>18</v>
      </c>
      <c r="G5" s="8" t="s">
        <v>19</v>
      </c>
      <c r="H5" s="7" t="s">
        <v>20</v>
      </c>
      <c r="I5" s="7" t="s">
        <v>21</v>
      </c>
      <c r="J5" s="7" t="s">
        <v>22</v>
      </c>
      <c r="K5" s="7"/>
      <c r="L5" s="8" t="s">
        <v>23</v>
      </c>
    </row>
    <row r="6" spans="1:12" ht="21.75" customHeight="1" x14ac:dyDescent="0.25">
      <c r="A6" s="9" t="str">
        <f>IF(B6="","",COUNTA($B$5:B6))</f>
        <v/>
      </c>
      <c r="B6" s="9"/>
      <c r="C6" s="9"/>
      <c r="D6" s="9"/>
      <c r="E6" s="10"/>
      <c r="F6" s="10"/>
      <c r="G6" s="10"/>
      <c r="H6" s="9"/>
      <c r="I6" s="9"/>
      <c r="J6" s="9"/>
      <c r="K6" s="9"/>
      <c r="L6" s="10"/>
    </row>
    <row r="7" spans="1:12" ht="21.75" customHeight="1" x14ac:dyDescent="0.25">
      <c r="A7" s="11" t="str">
        <f>IF(B7="","",COUNTA($B$5:B7))</f>
        <v/>
      </c>
      <c r="B7" s="11"/>
      <c r="C7" s="11"/>
      <c r="D7" s="11"/>
      <c r="E7" s="12"/>
      <c r="F7" s="12"/>
      <c r="G7" s="12"/>
      <c r="H7" s="11"/>
      <c r="I7" s="11"/>
      <c r="J7" s="11"/>
      <c r="K7" s="11"/>
      <c r="L7" s="12"/>
    </row>
    <row r="8" spans="1:12" ht="21.75" customHeight="1" x14ac:dyDescent="0.25">
      <c r="A8" s="9" t="str">
        <f>IF(B8="","",COUNTA($B$5:B8))</f>
        <v/>
      </c>
      <c r="B8" s="9"/>
      <c r="C8" s="9"/>
      <c r="D8" s="9"/>
      <c r="E8" s="10"/>
      <c r="F8" s="10"/>
      <c r="G8" s="10"/>
      <c r="H8" s="9"/>
      <c r="I8" s="9"/>
      <c r="J8" s="9"/>
      <c r="K8" s="9"/>
      <c r="L8" s="10"/>
    </row>
    <row r="9" spans="1:12" ht="21.75" customHeight="1" x14ac:dyDescent="0.25">
      <c r="A9" s="11" t="str">
        <f>IF(B9="","",COUNTA($B$5:B9))</f>
        <v/>
      </c>
      <c r="B9" s="11"/>
      <c r="C9" s="11"/>
      <c r="D9" s="11"/>
      <c r="E9" s="12"/>
      <c r="F9" s="12"/>
      <c r="G9" s="12"/>
      <c r="H9" s="11"/>
      <c r="I9" s="11"/>
      <c r="J9" s="11"/>
      <c r="K9" s="11"/>
      <c r="L9" s="12"/>
    </row>
    <row r="10" spans="1:12" ht="21.75" customHeight="1" x14ac:dyDescent="0.25">
      <c r="A10" s="9" t="str">
        <f>IF(B10="","",COUNTA($B$5:B10))</f>
        <v/>
      </c>
      <c r="B10" s="9"/>
      <c r="C10" s="9"/>
      <c r="D10" s="9"/>
      <c r="E10" s="10"/>
      <c r="F10" s="10"/>
      <c r="G10" s="10"/>
      <c r="H10" s="9"/>
      <c r="I10" s="9"/>
      <c r="J10" s="9"/>
      <c r="K10" s="9"/>
      <c r="L10" s="10"/>
    </row>
    <row r="11" spans="1:12" ht="21.75" customHeight="1" x14ac:dyDescent="0.25">
      <c r="A11" s="11" t="str">
        <f>IF(B11="","",COUNTA($B$5:B11))</f>
        <v/>
      </c>
      <c r="B11" s="11"/>
      <c r="C11" s="11"/>
      <c r="D11" s="11"/>
      <c r="E11" s="12"/>
      <c r="F11" s="12"/>
      <c r="G11" s="12"/>
      <c r="H11" s="11"/>
      <c r="I11" s="11"/>
      <c r="J11" s="11"/>
      <c r="K11" s="11"/>
      <c r="L11" s="12"/>
    </row>
    <row r="12" spans="1:12" ht="21.75" customHeight="1" x14ac:dyDescent="0.25">
      <c r="A12" s="9" t="str">
        <f>IF(B12="","",COUNTA($B$5:B12))</f>
        <v/>
      </c>
      <c r="B12" s="9"/>
      <c r="C12" s="9"/>
      <c r="D12" s="9"/>
      <c r="E12" s="10"/>
      <c r="F12" s="10"/>
      <c r="G12" s="10"/>
      <c r="H12" s="9"/>
      <c r="I12" s="9"/>
      <c r="J12" s="9"/>
      <c r="K12" s="9"/>
      <c r="L12" s="10"/>
    </row>
    <row r="13" spans="1:12" ht="21.75" customHeight="1" x14ac:dyDescent="0.25">
      <c r="A13" s="11" t="str">
        <f>IF(B13="","",COUNTA($B$5:B13))</f>
        <v/>
      </c>
      <c r="B13" s="11"/>
      <c r="C13" s="11"/>
      <c r="D13" s="11"/>
      <c r="E13" s="12"/>
      <c r="F13" s="12"/>
      <c r="G13" s="12"/>
      <c r="H13" s="11"/>
      <c r="I13" s="11"/>
      <c r="J13" s="11"/>
      <c r="K13" s="11"/>
      <c r="L13" s="12"/>
    </row>
    <row r="14" spans="1:12" ht="21.75" customHeight="1" x14ac:dyDescent="0.25">
      <c r="A14" s="9" t="str">
        <f>IF(B14="","",COUNTA($B$5:B14))</f>
        <v/>
      </c>
      <c r="B14" s="9"/>
      <c r="C14" s="9"/>
      <c r="D14" s="9"/>
      <c r="E14" s="10"/>
      <c r="F14" s="10"/>
      <c r="G14" s="10"/>
      <c r="H14" s="9"/>
      <c r="I14" s="9"/>
      <c r="J14" s="9"/>
      <c r="K14" s="9"/>
      <c r="L14" s="10"/>
    </row>
    <row r="15" spans="1:12" ht="21.75" customHeight="1" x14ac:dyDescent="0.25">
      <c r="A15" s="11" t="str">
        <f>IF(B15="","",COUNTA($B$5:B15))</f>
        <v/>
      </c>
      <c r="B15" s="11"/>
      <c r="C15" s="11"/>
      <c r="D15" s="11"/>
      <c r="E15" s="12"/>
      <c r="F15" s="12"/>
      <c r="G15" s="12"/>
      <c r="H15" s="11"/>
      <c r="I15" s="11"/>
      <c r="J15" s="11"/>
      <c r="K15" s="11"/>
      <c r="L15" s="12"/>
    </row>
    <row r="16" spans="1:12" ht="21.75" customHeight="1" x14ac:dyDescent="0.25">
      <c r="A16" s="9" t="str">
        <f>IF(B16="","",COUNTA($B$5:B16))</f>
        <v/>
      </c>
      <c r="B16" s="9"/>
      <c r="C16" s="9"/>
      <c r="D16" s="9"/>
      <c r="E16" s="10"/>
      <c r="F16" s="10"/>
      <c r="G16" s="10"/>
      <c r="H16" s="9"/>
      <c r="I16" s="9"/>
      <c r="J16" s="9"/>
      <c r="K16" s="9"/>
      <c r="L16" s="10"/>
    </row>
    <row r="17" spans="1:12" ht="21.75" customHeight="1" x14ac:dyDescent="0.25">
      <c r="A17" s="11" t="str">
        <f>IF(B17="","",COUNTA($B$5:B17))</f>
        <v/>
      </c>
      <c r="B17" s="11"/>
      <c r="C17" s="11"/>
      <c r="D17" s="11"/>
      <c r="E17" s="12"/>
      <c r="F17" s="12"/>
      <c r="G17" s="12"/>
      <c r="H17" s="11"/>
      <c r="I17" s="11"/>
      <c r="J17" s="11"/>
      <c r="K17" s="11"/>
      <c r="L17" s="12"/>
    </row>
    <row r="18" spans="1:12" ht="21.75" customHeight="1" x14ac:dyDescent="0.25">
      <c r="A18" s="9" t="str">
        <f>IF(B18="","",COUNTA($B$5:B18))</f>
        <v/>
      </c>
      <c r="B18" s="9"/>
      <c r="C18" s="9"/>
      <c r="D18" s="9"/>
      <c r="E18" s="10"/>
      <c r="F18" s="10"/>
      <c r="G18" s="10"/>
      <c r="H18" s="9"/>
      <c r="I18" s="9"/>
      <c r="J18" s="9"/>
      <c r="K18" s="9"/>
      <c r="L18" s="10"/>
    </row>
    <row r="19" spans="1:12" ht="21.75" customHeight="1" x14ac:dyDescent="0.25">
      <c r="A19" s="11" t="str">
        <f>IF(B19="","",COUNTA($B$5:B19))</f>
        <v/>
      </c>
      <c r="B19" s="11"/>
      <c r="C19" s="11"/>
      <c r="D19" s="11"/>
      <c r="E19" s="12"/>
      <c r="F19" s="12"/>
      <c r="G19" s="12"/>
      <c r="H19" s="11"/>
      <c r="I19" s="11"/>
      <c r="J19" s="11"/>
      <c r="K19" s="11"/>
      <c r="L19" s="12"/>
    </row>
    <row r="20" spans="1:12" ht="21.75" customHeight="1" x14ac:dyDescent="0.25">
      <c r="A20" s="9" t="str">
        <f>IF(B20="","",COUNTA($B$5:B20))</f>
        <v/>
      </c>
      <c r="B20" s="9"/>
      <c r="C20" s="9"/>
      <c r="D20" s="9"/>
      <c r="E20" s="10"/>
      <c r="F20" s="10"/>
      <c r="G20" s="10"/>
      <c r="H20" s="9"/>
      <c r="I20" s="9"/>
      <c r="J20" s="9"/>
      <c r="K20" s="9"/>
      <c r="L20" s="10"/>
    </row>
    <row r="21" spans="1:12" ht="21.75" customHeight="1" x14ac:dyDescent="0.25">
      <c r="A21" s="11" t="str">
        <f>IF(B21="","",COUNTA($B$5:B21))</f>
        <v/>
      </c>
      <c r="B21" s="11"/>
      <c r="C21" s="11"/>
      <c r="D21" s="11"/>
      <c r="E21" s="12"/>
      <c r="F21" s="12"/>
      <c r="G21" s="12"/>
      <c r="H21" s="11"/>
      <c r="I21" s="11"/>
      <c r="J21" s="11"/>
      <c r="K21" s="11"/>
      <c r="L21" s="12"/>
    </row>
    <row r="22" spans="1:12" ht="21.75" customHeight="1" x14ac:dyDescent="0.25">
      <c r="A22" s="9" t="str">
        <f>IF(B22="","",COUNTA($B$5:B22))</f>
        <v/>
      </c>
      <c r="B22" s="9"/>
      <c r="C22" s="9"/>
      <c r="D22" s="9"/>
      <c r="E22" s="10"/>
      <c r="F22" s="10"/>
      <c r="G22" s="10"/>
      <c r="H22" s="9"/>
      <c r="I22" s="9"/>
      <c r="J22" s="9"/>
      <c r="K22" s="9"/>
      <c r="L22" s="10"/>
    </row>
    <row r="23" spans="1:12" ht="21.75" customHeight="1" x14ac:dyDescent="0.25">
      <c r="A23" s="11" t="str">
        <f>IF(B23="","",COUNTA($B$5:B23))</f>
        <v/>
      </c>
      <c r="B23" s="11"/>
      <c r="C23" s="11"/>
      <c r="D23" s="11"/>
      <c r="E23" s="12"/>
      <c r="F23" s="12"/>
      <c r="G23" s="12"/>
      <c r="H23" s="11"/>
      <c r="I23" s="11"/>
      <c r="J23" s="11"/>
      <c r="K23" s="11"/>
      <c r="L23" s="12"/>
    </row>
    <row r="24" spans="1:12" ht="21.75" customHeight="1" x14ac:dyDescent="0.25">
      <c r="A24" s="9" t="str">
        <f>IF(B24="","",COUNTA($B$5:B24))</f>
        <v/>
      </c>
      <c r="B24" s="9"/>
      <c r="C24" s="9"/>
      <c r="D24" s="9"/>
      <c r="E24" s="10"/>
      <c r="F24" s="10"/>
      <c r="G24" s="10"/>
      <c r="H24" s="9"/>
      <c r="I24" s="9"/>
      <c r="J24" s="9"/>
      <c r="K24" s="9"/>
      <c r="L24" s="10"/>
    </row>
    <row r="25" spans="1:12" ht="21.75" customHeight="1" x14ac:dyDescent="0.25">
      <c r="A25" s="11" t="str">
        <f>IF(B25="","",COUNTA($B$5:B25))</f>
        <v/>
      </c>
      <c r="B25" s="11"/>
      <c r="C25" s="11"/>
      <c r="D25" s="11"/>
      <c r="E25" s="12"/>
      <c r="F25" s="12"/>
      <c r="G25" s="12"/>
      <c r="H25" s="11"/>
      <c r="I25" s="11"/>
      <c r="J25" s="11"/>
      <c r="K25" s="11"/>
      <c r="L25" s="12"/>
    </row>
    <row r="26" spans="1:12" ht="21.75" customHeight="1" x14ac:dyDescent="0.25">
      <c r="A26" s="9" t="str">
        <f>IF(B26="","",COUNTA($B$5:B26))</f>
        <v/>
      </c>
      <c r="B26" s="9"/>
      <c r="C26" s="9"/>
      <c r="D26" s="9"/>
      <c r="E26" s="10"/>
      <c r="F26" s="10"/>
      <c r="G26" s="10"/>
      <c r="H26" s="9"/>
      <c r="I26" s="9"/>
      <c r="J26" s="9"/>
      <c r="K26" s="9"/>
      <c r="L26" s="10"/>
    </row>
    <row r="27" spans="1:12" ht="21.75" customHeight="1" x14ac:dyDescent="0.25">
      <c r="A27" s="11" t="str">
        <f>IF(B27="","",COUNTA($B$5:B27))</f>
        <v/>
      </c>
      <c r="B27" s="11"/>
      <c r="C27" s="11"/>
      <c r="D27" s="11"/>
      <c r="E27" s="12"/>
      <c r="F27" s="12"/>
      <c r="G27" s="12"/>
      <c r="H27" s="11"/>
      <c r="I27" s="11"/>
      <c r="J27" s="11"/>
      <c r="K27" s="11"/>
      <c r="L27" s="12"/>
    </row>
    <row r="28" spans="1:12" ht="21.75" customHeight="1" x14ac:dyDescent="0.25">
      <c r="A28" s="9" t="str">
        <f>IF(B28="","",COUNTA($B$5:B28))</f>
        <v/>
      </c>
      <c r="B28" s="9"/>
      <c r="C28" s="9"/>
      <c r="D28" s="9"/>
      <c r="E28" s="10"/>
      <c r="F28" s="10"/>
      <c r="G28" s="10"/>
      <c r="H28" s="9"/>
      <c r="I28" s="9"/>
      <c r="J28" s="9"/>
      <c r="K28" s="9"/>
      <c r="L28" s="10"/>
    </row>
    <row r="29" spans="1:12" ht="21.75" customHeight="1" x14ac:dyDescent="0.25">
      <c r="A29" s="11" t="str">
        <f>IF(B29="","",COUNTA($B$5:B29))</f>
        <v/>
      </c>
      <c r="B29" s="11"/>
      <c r="C29" s="11"/>
      <c r="D29" s="11"/>
      <c r="E29" s="12"/>
      <c r="F29" s="12"/>
      <c r="G29" s="12"/>
      <c r="H29" s="11"/>
      <c r="I29" s="11"/>
      <c r="J29" s="11"/>
      <c r="K29" s="11"/>
      <c r="L29" s="12"/>
    </row>
    <row r="30" spans="1:12" ht="21.75" customHeight="1" x14ac:dyDescent="0.25">
      <c r="A30" s="9" t="str">
        <f>IF(B30="","",COUNTA($B$5:B30))</f>
        <v/>
      </c>
      <c r="B30" s="9"/>
      <c r="C30" s="9"/>
      <c r="D30" s="9"/>
      <c r="E30" s="10"/>
      <c r="F30" s="10"/>
      <c r="G30" s="10"/>
      <c r="H30" s="9"/>
      <c r="I30" s="9"/>
      <c r="J30" s="9"/>
      <c r="K30" s="9"/>
      <c r="L30" s="10"/>
    </row>
    <row r="32" spans="1:12" ht="30" customHeight="1" x14ac:dyDescent="0.25">
      <c r="A32" s="1" t="s">
        <v>24</v>
      </c>
      <c r="B32" s="1"/>
      <c r="C32" s="1"/>
      <c r="D32" s="1"/>
      <c r="E32" s="1"/>
      <c r="F32" s="1"/>
      <c r="G32" s="1"/>
      <c r="H32" s="1"/>
      <c r="I32" s="1"/>
      <c r="J32" s="1"/>
      <c r="K32" s="1"/>
      <c r="L32" s="1"/>
    </row>
  </sheetData>
  <mergeCells count="4">
    <mergeCell ref="A1:L1"/>
    <mergeCell ref="A2:L2"/>
    <mergeCell ref="A3:L3"/>
    <mergeCell ref="A32:L32"/>
  </mergeCells>
  <conditionalFormatting sqref="J6:J30">
    <cfRule type="cellIs" dxfId="2" priority="2" operator="equal">
      <formula>"Pendiente de revisión"</formula>
    </cfRule>
    <cfRule type="cellIs" dxfId="1" priority="3" operator="equal">
      <formula>"Justificado"</formula>
    </cfRule>
    <cfRule type="cellIs" dxfId="0" priority="4" operator="equal">
      <formula>"Cerrado"</formula>
    </cfRule>
  </conditionalFormatting>
  <dataValidations count="3">
    <dataValidation type="list" allowBlank="1" sqref="D6:D30" xr:uid="{00000000-0002-0000-0000-000000000000}">
      <formula1>"TCP,UDP,TCP/UDP"</formula1>
      <formula2>0</formula2>
    </dataValidation>
    <dataValidation type="list" allowBlank="1" sqref="F6:F30" xr:uid="{00000000-0002-0000-0000-000001000000}">
      <formula1>"Nmap,Shodan,Nmap + Shodan,Otra"</formula1>
      <formula2>0</formula2>
    </dataValidation>
    <dataValidation type="list" allowBlank="1" sqref="J6:J30" xr:uid="{00000000-0002-0000-0000-000002000000}">
      <formula1>"Justificado,Pendiente de revisión,Cerrado"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selection sqref="A1:D1"/>
    </sheetView>
  </sheetViews>
  <sheetFormatPr baseColWidth="10" defaultColWidth="8.7109375" defaultRowHeight="15" x14ac:dyDescent="0.25"/>
  <cols>
    <col min="1" max="1" width="22" customWidth="1"/>
    <col min="2" max="4" width="16" customWidth="1"/>
  </cols>
  <sheetData>
    <row r="1" spans="1:4" ht="17.100000000000001" customHeight="1" x14ac:dyDescent="0.25">
      <c r="A1" s="3" t="s">
        <v>0</v>
      </c>
      <c r="B1" s="3"/>
      <c r="C1" s="3"/>
      <c r="D1" s="3"/>
    </row>
    <row r="2" spans="1:4" ht="15" customHeight="1" x14ac:dyDescent="0.25">
      <c r="A2" s="2" t="s">
        <v>25</v>
      </c>
      <c r="B2" s="2"/>
      <c r="C2" s="2"/>
      <c r="D2" s="2"/>
    </row>
    <row r="3" spans="1:4" ht="25.5" x14ac:dyDescent="0.25">
      <c r="A3" s="6" t="s">
        <v>12</v>
      </c>
      <c r="B3" s="6" t="s">
        <v>26</v>
      </c>
      <c r="C3" s="6" t="s">
        <v>27</v>
      </c>
      <c r="D3" s="6" t="s">
        <v>28</v>
      </c>
    </row>
    <row r="4" spans="1:4" x14ac:dyDescent="0.25">
      <c r="A4" s="9" t="s">
        <v>22</v>
      </c>
      <c r="B4" s="9">
        <f>COUNTIF(Inventario!J6:J30,A4)</f>
        <v>0</v>
      </c>
      <c r="C4" s="13">
        <f>IFERROR(B4/$B$7,0)</f>
        <v>0</v>
      </c>
      <c r="D4" s="9"/>
    </row>
    <row r="5" spans="1:4" x14ac:dyDescent="0.25">
      <c r="A5" s="11" t="s">
        <v>29</v>
      </c>
      <c r="B5" s="11">
        <f>COUNTIF(Inventario!J6:J30,A5)</f>
        <v>0</v>
      </c>
      <c r="C5" s="14">
        <f>IFERROR(B5/$B$7,0)</f>
        <v>0</v>
      </c>
      <c r="D5" s="11"/>
    </row>
    <row r="6" spans="1:4" x14ac:dyDescent="0.25">
      <c r="A6" s="9" t="s">
        <v>30</v>
      </c>
      <c r="B6" s="9">
        <f>COUNTIF(Inventario!J6:J30,A6)</f>
        <v>0</v>
      </c>
      <c r="C6" s="13">
        <f>IFERROR(B6/$B$7,0)</f>
        <v>0</v>
      </c>
      <c r="D6" s="9"/>
    </row>
    <row r="7" spans="1:4" x14ac:dyDescent="0.25">
      <c r="A7" s="15" t="s">
        <v>31</v>
      </c>
      <c r="B7" s="15">
        <f>COUNTA(Inventario!B6:B30)</f>
        <v>0</v>
      </c>
      <c r="C7" s="16">
        <v>1</v>
      </c>
      <c r="D7" s="15"/>
    </row>
    <row r="9" spans="1:4" ht="39.75" customHeight="1" x14ac:dyDescent="0.25">
      <c r="A9" s="1" t="s">
        <v>32</v>
      </c>
      <c r="B9" s="1"/>
      <c r="C9" s="1"/>
      <c r="D9" s="1"/>
    </row>
  </sheetData>
  <mergeCells count="3">
    <mergeCell ref="A1:D1"/>
    <mergeCell ref="A2:D2"/>
    <mergeCell ref="A9:D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
  <sheetViews>
    <sheetView zoomScaleNormal="100" workbookViewId="0"/>
  </sheetViews>
  <sheetFormatPr baseColWidth="10" defaultColWidth="8.7109375" defaultRowHeight="15" x14ac:dyDescent="0.25"/>
  <cols>
    <col min="1" max="1" width="100" customWidth="1"/>
  </cols>
  <sheetData>
    <row r="1" spans="1:1" ht="25.5" customHeight="1" x14ac:dyDescent="0.25">
      <c r="A1" s="4" t="s">
        <v>0</v>
      </c>
    </row>
    <row r="2" spans="1:1" ht="21.75" customHeight="1" x14ac:dyDescent="0.25">
      <c r="A2" s="5" t="s">
        <v>33</v>
      </c>
    </row>
    <row r="4" spans="1:1" ht="18" customHeight="1" x14ac:dyDescent="0.25">
      <c r="A4" s="17" t="s">
        <v>34</v>
      </c>
    </row>
    <row r="5" spans="1:1" ht="42" customHeight="1" x14ac:dyDescent="0.25">
      <c r="A5" s="18" t="s">
        <v>35</v>
      </c>
    </row>
    <row r="7" spans="1:1" ht="18" customHeight="1" x14ac:dyDescent="0.25">
      <c r="A7" s="17" t="s">
        <v>36</v>
      </c>
    </row>
    <row r="8" spans="1:1" ht="168" customHeight="1" x14ac:dyDescent="0.25">
      <c r="A8" s="18" t="s">
        <v>37</v>
      </c>
    </row>
    <row r="10" spans="1:1" ht="18" customHeight="1" x14ac:dyDescent="0.25">
      <c r="A10" s="17" t="s">
        <v>38</v>
      </c>
    </row>
    <row r="11" spans="1:1" ht="252" customHeight="1" x14ac:dyDescent="0.25">
      <c r="A11" s="18" t="s">
        <v>39</v>
      </c>
    </row>
    <row r="13" spans="1:1" ht="18" customHeight="1" x14ac:dyDescent="0.25">
      <c r="A13" s="17" t="s">
        <v>40</v>
      </c>
    </row>
    <row r="14" spans="1:1" ht="27.75" customHeight="1" x14ac:dyDescent="0.25">
      <c r="A14" s="18" t="s">
        <v>41</v>
      </c>
    </row>
    <row r="16" spans="1:1" ht="18" customHeight="1" x14ac:dyDescent="0.25">
      <c r="A16" s="17" t="s">
        <v>42</v>
      </c>
    </row>
    <row r="17" spans="1:1" ht="27.75" customHeight="1" x14ac:dyDescent="0.25">
      <c r="A17" s="18" t="s">
        <v>43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Inventario</vt:lpstr>
      <vt:lpstr>Dashboard</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2026-07-30T19:48:58Z</dcterms:created>
  <dcterms:modified xsi:type="dcterms:W3CDTF">2026-07-30T20:02:13Z</dcterms:modified>
  <dc:language>en-US</dc:language>
</cp:coreProperties>
</file>