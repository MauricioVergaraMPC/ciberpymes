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3- Firewall/Templates/"/>
    </mc:Choice>
  </mc:AlternateContent>
  <xr:revisionPtr revIDLastSave="2" documentId="11_2843E5D768E682FFEA9C1FD6F46C35AFC5FA43B7" xr6:coauthVersionLast="47" xr6:coauthVersionMax="47" xr10:uidLastSave="{3D2B6A5B-84F5-43D9-B9FC-ECB9EF9F8F5E}"/>
  <bookViews>
    <workbookView xWindow="32805" yWindow="1305" windowWidth="22275" windowHeight="13665" xr2:uid="{00000000-000D-0000-FFFF-FFFF00000000}"/>
  </bookViews>
  <sheets>
    <sheet name="Checklist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F9" i="2" s="1"/>
  <c r="E4" i="2"/>
  <c r="E9" i="2" s="1"/>
  <c r="D4" i="2"/>
  <c r="D9" i="2" s="1"/>
  <c r="C4" i="2"/>
  <c r="C9" i="2" s="1"/>
</calcChain>
</file>

<file path=xl/sharedStrings.xml><?xml version="1.0" encoding="utf-8"?>
<sst xmlns="http://schemas.openxmlformats.org/spreadsheetml/2006/main" count="98" uniqueCount="57">
  <si>
    <t>CIBERPROTECCIÓN PARA PyMES  ·  Capítulo 3 — Firewall</t>
  </si>
  <si>
    <t>Mantenimiento Preventivo del Firewall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</si>
  <si>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</si>
  <si>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</si>
  <si>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</si>
  <si>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</si>
  <si>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</si>
  <si>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</si>
  <si>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</si>
  <si>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DIARIA</t>
  </si>
  <si>
    <t>Revisar el dashboard del firewall y verificar que el dispositivo está operativo</t>
  </si>
  <si>
    <t>Pendiente</t>
  </si>
  <si>
    <t>Verificar que los registros de eventos se están enviando correctamente al LMS y al SIEM</t>
  </si>
  <si>
    <t>Revisar las alertas generadas durante las últimas 24 horas y confirmar su atención</t>
  </si>
  <si>
    <t>Verificar que el volumen de conexiones denegadas se encuentra dentro de los umbrales normales</t>
  </si>
  <si>
    <t>Confirmar que las interfaces de red del dispositivo están en estado activo</t>
  </si>
  <si>
    <t>SEMANAL</t>
  </si>
  <si>
    <t>Revisar el reporte de intentos de acceso a la interfaz de administración</t>
  </si>
  <si>
    <t>Verificar que el respaldo automático de configuración se ejecutó correctamente</t>
  </si>
  <si>
    <t>Revisar las reglas creadas durante la semana y verificar su documentación en el sistema de tickets</t>
  </si>
  <si>
    <t>Confirmar que las reglas temporales de emergencia activas tienen fecha de revisión asignada</t>
  </si>
  <si>
    <t>Revisar el reporte de tráfico hacia destinos en listas negras</t>
  </si>
  <si>
    <t>Verificar la disponibilidad y sincronización de los feeds de inteligencia de amenazas</t>
  </si>
  <si>
    <t>MENSUAL</t>
  </si>
  <si>
    <t>Verificar la integridad del respaldo de configuración mediante restauración en entorno de prueba</t>
  </si>
  <si>
    <t>Revisar y depurar las reglas con bajo volumen de tráfico o sin actividad reciente</t>
  </si>
  <si>
    <t>Verificar que los umbrales de alerta configurados siguen siendo coherentes con la línea base de tráfico</t>
  </si>
  <si>
    <t>Revisar los permisos de acceso a la interfaz de administración y confirmar que no existen cuentas no autorizadas</t>
  </si>
  <si>
    <t>Verificar que la versión de firmware del dispositivo es la más reciente disponible del fabricante</t>
  </si>
  <si>
    <t>Revisar el estado de los certificados SSL utilizados por el firewall y verificar su fecha de vencimiento</t>
  </si>
  <si>
    <t>Confirmar que la sincronización horaria (NTP) del dispositivo está activa y correctamente configurada</t>
  </si>
  <si>
    <t>Revisar el uso de recursos del dispositivo: CPU, memoria y capacidad de procesamiento de conexiones</t>
  </si>
  <si>
    <t>TRIMESTRAL</t>
  </si>
  <si>
    <t>Ejecutar una revisión completa del ruleset e identificar reglas obsoletas, redundantes o excesivamente permisivas</t>
  </si>
  <si>
    <t>Verificar que las reglas activas corresponden al inventario actualizado de servicios expuestos</t>
  </si>
  <si>
    <t>Revisar y actualizar la documentación de flujos de tráfico legítimos entre segmentos</t>
  </si>
  <si>
    <t>Ejecutar una prueba de restauración completa desde el respaldo de configuración vigente</t>
  </si>
  <si>
    <t>Revisar el documento de configuración autorizada y actualizarlo si hubo cambios en el ruleset</t>
  </si>
  <si>
    <t>Verificar que las cuentas administrativas del dispositivo tienen MFA activo</t>
  </si>
  <si>
    <t>Revisar los registros de cambios ejecutados en el trimestre y confirmar que todos están documentados</t>
  </si>
  <si>
    <t>Evaluar si los criterios de activación del DRP para este dominio siguen siendo vigentes</t>
  </si>
  <si>
    <t>ANUAL</t>
  </si>
  <si>
    <t>Realizar una auditoría completa de la configuración del firewall contra la política de seguridad vigente</t>
  </si>
  <si>
    <t>Revisar y actualizar la política de uso y gestión del firewall</t>
  </si>
  <si>
    <t>Ejecutar un simulacro de recuperación ante la pérdida total del dispositivo perimetral</t>
  </si>
  <si>
    <t>Evaluar si el dispositivo actual cubre los requerimientos de capacidad y funcionalidad para el año siguiente</t>
  </si>
  <si>
    <t>Revisar los contratos de soporte y garantía del fabricante y gestionar su renovación si corresponde</t>
  </si>
  <si>
    <t>Actualizar el DRP con los cambios de infraestructura ocurridos durante el año</t>
  </si>
  <si>
    <t>Revisar y actualizar los procedimientos de recuperación almacenados en la base de conocimientos</t>
  </si>
  <si>
    <t>TOTAL TAREAS</t>
  </si>
  <si>
    <t>Dashboard — Estado del Mantenimiento Preventivo</t>
  </si>
  <si>
    <t>Total tareas</t>
  </si>
  <si>
    <t>En progreso</t>
  </si>
  <si>
    <t>Completada</t>
  </si>
  <si>
    <t>No aplica</t>
  </si>
  <si>
    <t>TOTAL GENERAL</t>
  </si>
  <si>
    <t>Nota: cambie el estado de cada tarea en la hoja Checklist.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</si>
</sst>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555555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3B6D11"/>
      <name val="Calibri"/>
    </font>
    <font>
      <sz val="10"/>
      <color rgb="FF777777"/>
      <name val="Calibri"/>
    </font>
    <font>
      <i/>
      <sz val="9"/>
      <color rgb="FF777777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3F6E"/>
      </patternFill>
    </fill>
    <fill>
      <patternFill patternType="solid">
        <fgColor rgb="FF185FA5"/>
      </patternFill>
    </fill>
    <fill>
      <patternFill patternType="solid">
        <fgColor rgb="FFFFFFFF"/>
      </patternFill>
    </fill>
    <fill>
      <patternFill patternType="solid">
        <fgColor rgb="FFF5F5F2"/>
      </patternFill>
    </fill>
    <fill>
      <patternFill patternType="solid">
        <fgColor rgb="FF2E6DA4"/>
      </patternFill>
    </fill>
    <fill>
      <patternFill patternType="solid">
        <fgColor rgb="FFBA7517"/>
      </patternFill>
    </fill>
    <fill>
      <patternFill patternType="solid">
        <fgColor rgb="FF3B6D11"/>
      </patternFill>
    </fill>
    <fill>
      <patternFill patternType="solid">
        <fgColor rgb="FFA32D2D"/>
      </patternFill>
    </fill>
    <fill>
      <patternFill patternType="solid">
        <fgColor rgb="FFB5D4F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showGridLines="0" tabSelected="1" workbookViewId="0">
      <pane ySplit="3" topLeftCell="A4" activePane="bottomLeft" state="frozen"/>
      <selection pane="bottomLeft" activeCell="C37" sqref="C37"/>
    </sheetView>
  </sheetViews>
  <sheetFormatPr baseColWidth="10" defaultColWidth="9.140625" defaultRowHeight="15" x14ac:dyDescent="0.25"/>
  <cols>
    <col min="1" max="1" width="14" customWidth="1"/>
    <col min="2" max="2" width="4" customWidth="1"/>
    <col min="3" max="3" width="72" customWidth="1"/>
    <col min="4" max="5" width="18" customWidth="1"/>
    <col min="6" max="6" width="14" customWidth="1"/>
    <col min="7" max="7" width="36" customWidth="1"/>
  </cols>
  <sheetData>
    <row r="1" spans="1:7" ht="27.95" customHeight="1" x14ac:dyDescent="0.25">
      <c r="A1" s="22" t="s">
        <v>0</v>
      </c>
      <c r="B1" s="21"/>
      <c r="C1" s="21"/>
      <c r="D1" s="21"/>
      <c r="E1" s="21"/>
      <c r="F1" s="21"/>
      <c r="G1" s="21"/>
    </row>
    <row r="2" spans="1:7" ht="21.95" customHeight="1" x14ac:dyDescent="0.25">
      <c r="A2" s="28" t="s">
        <v>1</v>
      </c>
      <c r="B2" s="21"/>
      <c r="C2" s="21"/>
      <c r="D2" s="21"/>
      <c r="E2" s="21"/>
      <c r="F2" s="21"/>
      <c r="G2" s="21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7.95" customHeight="1" x14ac:dyDescent="0.25">
      <c r="A4" s="27" t="s">
        <v>9</v>
      </c>
      <c r="B4" s="2">
        <v>1</v>
      </c>
      <c r="C4" s="3" t="s">
        <v>10</v>
      </c>
      <c r="D4" s="4" t="s">
        <v>11</v>
      </c>
      <c r="E4" s="3"/>
      <c r="F4" s="3"/>
      <c r="G4" s="3"/>
    </row>
    <row r="5" spans="1:7" ht="27.95" customHeight="1" x14ac:dyDescent="0.25">
      <c r="A5" s="24"/>
      <c r="B5" s="5">
        <v>2</v>
      </c>
      <c r="C5" s="6" t="s">
        <v>12</v>
      </c>
      <c r="D5" s="7" t="s">
        <v>11</v>
      </c>
      <c r="E5" s="6"/>
      <c r="F5" s="6"/>
      <c r="G5" s="6"/>
    </row>
    <row r="6" spans="1:7" ht="27.95" customHeight="1" x14ac:dyDescent="0.25">
      <c r="A6" s="24"/>
      <c r="B6" s="2">
        <v>3</v>
      </c>
      <c r="C6" s="3" t="s">
        <v>13</v>
      </c>
      <c r="D6" s="4" t="s">
        <v>11</v>
      </c>
      <c r="E6" s="3"/>
      <c r="F6" s="3"/>
      <c r="G6" s="3"/>
    </row>
    <row r="7" spans="1:7" ht="27.95" customHeight="1" x14ac:dyDescent="0.25">
      <c r="A7" s="24"/>
      <c r="B7" s="5">
        <v>4</v>
      </c>
      <c r="C7" s="6" t="s">
        <v>14</v>
      </c>
      <c r="D7" s="7" t="s">
        <v>11</v>
      </c>
      <c r="E7" s="6"/>
      <c r="F7" s="6"/>
      <c r="G7" s="6"/>
    </row>
    <row r="8" spans="1:7" ht="27.95" customHeight="1" x14ac:dyDescent="0.25">
      <c r="A8" s="25"/>
      <c r="B8" s="2">
        <v>5</v>
      </c>
      <c r="C8" s="3" t="s">
        <v>15</v>
      </c>
      <c r="D8" s="4" t="s">
        <v>11</v>
      </c>
      <c r="E8" s="3"/>
      <c r="F8" s="3"/>
      <c r="G8" s="3"/>
    </row>
    <row r="9" spans="1:7" ht="27.95" customHeight="1" x14ac:dyDescent="0.25">
      <c r="A9" s="23" t="s">
        <v>16</v>
      </c>
      <c r="B9" s="2">
        <v>1</v>
      </c>
      <c r="C9" s="3" t="s">
        <v>17</v>
      </c>
      <c r="D9" s="4" t="s">
        <v>11</v>
      </c>
      <c r="E9" s="3"/>
      <c r="F9" s="3"/>
      <c r="G9" s="3"/>
    </row>
    <row r="10" spans="1:7" ht="27.95" customHeight="1" x14ac:dyDescent="0.25">
      <c r="A10" s="24"/>
      <c r="B10" s="5">
        <v>2</v>
      </c>
      <c r="C10" s="6" t="s">
        <v>18</v>
      </c>
      <c r="D10" s="7" t="s">
        <v>11</v>
      </c>
      <c r="E10" s="6"/>
      <c r="F10" s="6"/>
      <c r="G10" s="6"/>
    </row>
    <row r="11" spans="1:7" ht="27.95" customHeight="1" x14ac:dyDescent="0.25">
      <c r="A11" s="24"/>
      <c r="B11" s="2">
        <v>3</v>
      </c>
      <c r="C11" s="3" t="s">
        <v>19</v>
      </c>
      <c r="D11" s="4" t="s">
        <v>11</v>
      </c>
      <c r="E11" s="3"/>
      <c r="F11" s="3"/>
      <c r="G11" s="3"/>
    </row>
    <row r="12" spans="1:7" ht="27.95" customHeight="1" x14ac:dyDescent="0.25">
      <c r="A12" s="24"/>
      <c r="B12" s="5">
        <v>4</v>
      </c>
      <c r="C12" s="6" t="s">
        <v>20</v>
      </c>
      <c r="D12" s="7" t="s">
        <v>11</v>
      </c>
      <c r="E12" s="6"/>
      <c r="F12" s="6"/>
      <c r="G12" s="6"/>
    </row>
    <row r="13" spans="1:7" ht="27.95" customHeight="1" x14ac:dyDescent="0.25">
      <c r="A13" s="24"/>
      <c r="B13" s="2">
        <v>5</v>
      </c>
      <c r="C13" s="3" t="s">
        <v>21</v>
      </c>
      <c r="D13" s="4" t="s">
        <v>11</v>
      </c>
      <c r="E13" s="3"/>
      <c r="F13" s="3"/>
      <c r="G13" s="3"/>
    </row>
    <row r="14" spans="1:7" ht="27.95" customHeight="1" x14ac:dyDescent="0.25">
      <c r="A14" s="25"/>
      <c r="B14" s="5">
        <v>6</v>
      </c>
      <c r="C14" s="6" t="s">
        <v>22</v>
      </c>
      <c r="D14" s="7" t="s">
        <v>11</v>
      </c>
      <c r="E14" s="6"/>
      <c r="F14" s="6"/>
      <c r="G14" s="6"/>
    </row>
    <row r="15" spans="1:7" ht="27.95" customHeight="1" x14ac:dyDescent="0.25">
      <c r="A15" s="26" t="s">
        <v>23</v>
      </c>
      <c r="B15" s="2">
        <v>1</v>
      </c>
      <c r="C15" s="3" t="s">
        <v>24</v>
      </c>
      <c r="D15" s="4" t="s">
        <v>11</v>
      </c>
      <c r="E15" s="3"/>
      <c r="F15" s="3"/>
      <c r="G15" s="3"/>
    </row>
    <row r="16" spans="1:7" ht="27.95" customHeight="1" x14ac:dyDescent="0.25">
      <c r="A16" s="24"/>
      <c r="B16" s="5">
        <v>2</v>
      </c>
      <c r="C16" s="6" t="s">
        <v>25</v>
      </c>
      <c r="D16" s="7" t="s">
        <v>11</v>
      </c>
      <c r="E16" s="6"/>
      <c r="F16" s="6"/>
      <c r="G16" s="6"/>
    </row>
    <row r="17" spans="1:7" ht="27.95" customHeight="1" x14ac:dyDescent="0.25">
      <c r="A17" s="24"/>
      <c r="B17" s="2">
        <v>3</v>
      </c>
      <c r="C17" s="3" t="s">
        <v>26</v>
      </c>
      <c r="D17" s="4" t="s">
        <v>11</v>
      </c>
      <c r="E17" s="3"/>
      <c r="F17" s="3"/>
      <c r="G17" s="3"/>
    </row>
    <row r="18" spans="1:7" ht="27.95" customHeight="1" x14ac:dyDescent="0.25">
      <c r="A18" s="24"/>
      <c r="B18" s="5">
        <v>4</v>
      </c>
      <c r="C18" s="6" t="s">
        <v>27</v>
      </c>
      <c r="D18" s="7" t="s">
        <v>11</v>
      </c>
      <c r="E18" s="6"/>
      <c r="F18" s="6"/>
      <c r="G18" s="6"/>
    </row>
    <row r="19" spans="1:7" ht="27.95" customHeight="1" x14ac:dyDescent="0.25">
      <c r="A19" s="24"/>
      <c r="B19" s="2">
        <v>5</v>
      </c>
      <c r="C19" s="3" t="s">
        <v>28</v>
      </c>
      <c r="D19" s="4" t="s">
        <v>11</v>
      </c>
      <c r="E19" s="3"/>
      <c r="F19" s="3"/>
      <c r="G19" s="3"/>
    </row>
    <row r="20" spans="1:7" ht="27.95" customHeight="1" x14ac:dyDescent="0.25">
      <c r="A20" s="24"/>
      <c r="B20" s="5">
        <v>6</v>
      </c>
      <c r="C20" s="6" t="s">
        <v>29</v>
      </c>
      <c r="D20" s="7" t="s">
        <v>11</v>
      </c>
      <c r="E20" s="6"/>
      <c r="F20" s="6"/>
      <c r="G20" s="6"/>
    </row>
    <row r="21" spans="1:7" ht="27.95" customHeight="1" x14ac:dyDescent="0.25">
      <c r="A21" s="24"/>
      <c r="B21" s="2">
        <v>7</v>
      </c>
      <c r="C21" s="3" t="s">
        <v>30</v>
      </c>
      <c r="D21" s="4" t="s">
        <v>11</v>
      </c>
      <c r="E21" s="3"/>
      <c r="F21" s="3"/>
      <c r="G21" s="3"/>
    </row>
    <row r="22" spans="1:7" ht="27.95" customHeight="1" x14ac:dyDescent="0.25">
      <c r="A22" s="25"/>
      <c r="B22" s="5">
        <v>8</v>
      </c>
      <c r="C22" s="6" t="s">
        <v>31</v>
      </c>
      <c r="D22" s="7" t="s">
        <v>11</v>
      </c>
      <c r="E22" s="6"/>
      <c r="F22" s="6"/>
      <c r="G22" s="6"/>
    </row>
    <row r="23" spans="1:7" ht="27.95" customHeight="1" x14ac:dyDescent="0.25">
      <c r="A23" s="29" t="s">
        <v>32</v>
      </c>
      <c r="B23" s="2">
        <v>1</v>
      </c>
      <c r="C23" s="3" t="s">
        <v>33</v>
      </c>
      <c r="D23" s="4" t="s">
        <v>11</v>
      </c>
      <c r="E23" s="3"/>
      <c r="F23" s="3"/>
      <c r="G23" s="3"/>
    </row>
    <row r="24" spans="1:7" ht="27.95" customHeight="1" x14ac:dyDescent="0.25">
      <c r="A24" s="24"/>
      <c r="B24" s="5">
        <v>2</v>
      </c>
      <c r="C24" s="6" t="s">
        <v>34</v>
      </c>
      <c r="D24" s="7" t="s">
        <v>11</v>
      </c>
      <c r="E24" s="6"/>
      <c r="F24" s="6"/>
      <c r="G24" s="6"/>
    </row>
    <row r="25" spans="1:7" ht="27.95" customHeight="1" x14ac:dyDescent="0.25">
      <c r="A25" s="24"/>
      <c r="B25" s="2">
        <v>3</v>
      </c>
      <c r="C25" s="3" t="s">
        <v>35</v>
      </c>
      <c r="D25" s="4" t="s">
        <v>11</v>
      </c>
      <c r="E25" s="3"/>
      <c r="F25" s="3"/>
      <c r="G25" s="3"/>
    </row>
    <row r="26" spans="1:7" ht="27.95" customHeight="1" x14ac:dyDescent="0.25">
      <c r="A26" s="24"/>
      <c r="B26" s="5">
        <v>4</v>
      </c>
      <c r="C26" s="6" t="s">
        <v>36</v>
      </c>
      <c r="D26" s="7" t="s">
        <v>11</v>
      </c>
      <c r="E26" s="6"/>
      <c r="F26" s="6"/>
      <c r="G26" s="6"/>
    </row>
    <row r="27" spans="1:7" ht="27.95" customHeight="1" x14ac:dyDescent="0.25">
      <c r="A27" s="24"/>
      <c r="B27" s="2">
        <v>5</v>
      </c>
      <c r="C27" s="3" t="s">
        <v>37</v>
      </c>
      <c r="D27" s="4" t="s">
        <v>11</v>
      </c>
      <c r="E27" s="3"/>
      <c r="F27" s="3"/>
      <c r="G27" s="3"/>
    </row>
    <row r="28" spans="1:7" ht="27.95" customHeight="1" x14ac:dyDescent="0.25">
      <c r="A28" s="24"/>
      <c r="B28" s="5">
        <v>6</v>
      </c>
      <c r="C28" s="6" t="s">
        <v>38</v>
      </c>
      <c r="D28" s="7" t="s">
        <v>11</v>
      </c>
      <c r="E28" s="6"/>
      <c r="F28" s="6"/>
      <c r="G28" s="6"/>
    </row>
    <row r="29" spans="1:7" ht="27.95" customHeight="1" x14ac:dyDescent="0.25">
      <c r="A29" s="24"/>
      <c r="B29" s="2">
        <v>7</v>
      </c>
      <c r="C29" s="3" t="s">
        <v>39</v>
      </c>
      <c r="D29" s="4" t="s">
        <v>11</v>
      </c>
      <c r="E29" s="3"/>
      <c r="F29" s="3"/>
      <c r="G29" s="3"/>
    </row>
    <row r="30" spans="1:7" ht="27.95" customHeight="1" x14ac:dyDescent="0.25">
      <c r="A30" s="25"/>
      <c r="B30" s="5">
        <v>8</v>
      </c>
      <c r="C30" s="6" t="s">
        <v>40</v>
      </c>
      <c r="D30" s="7" t="s">
        <v>11</v>
      </c>
      <c r="E30" s="6"/>
      <c r="F30" s="6"/>
      <c r="G30" s="6"/>
    </row>
    <row r="31" spans="1:7" ht="27.95" customHeight="1" x14ac:dyDescent="0.25">
      <c r="A31" s="30" t="s">
        <v>41</v>
      </c>
      <c r="B31" s="2">
        <v>1</v>
      </c>
      <c r="C31" s="3" t="s">
        <v>42</v>
      </c>
      <c r="D31" s="4" t="s">
        <v>11</v>
      </c>
      <c r="E31" s="3"/>
      <c r="F31" s="3"/>
      <c r="G31" s="3"/>
    </row>
    <row r="32" spans="1:7" ht="27.95" customHeight="1" x14ac:dyDescent="0.25">
      <c r="A32" s="24"/>
      <c r="B32" s="5">
        <v>2</v>
      </c>
      <c r="C32" s="6" t="s">
        <v>43</v>
      </c>
      <c r="D32" s="7" t="s">
        <v>11</v>
      </c>
      <c r="E32" s="6"/>
      <c r="F32" s="6"/>
      <c r="G32" s="6"/>
    </row>
    <row r="33" spans="1:7" ht="27.95" customHeight="1" x14ac:dyDescent="0.25">
      <c r="A33" s="24"/>
      <c r="B33" s="2">
        <v>3</v>
      </c>
      <c r="C33" s="3" t="s">
        <v>44</v>
      </c>
      <c r="D33" s="4" t="s">
        <v>11</v>
      </c>
      <c r="E33" s="3"/>
      <c r="F33" s="3"/>
      <c r="G33" s="3"/>
    </row>
    <row r="34" spans="1:7" ht="27.95" customHeight="1" x14ac:dyDescent="0.25">
      <c r="A34" s="24"/>
      <c r="B34" s="5">
        <v>4</v>
      </c>
      <c r="C34" s="6" t="s">
        <v>45</v>
      </c>
      <c r="D34" s="7" t="s">
        <v>11</v>
      </c>
      <c r="E34" s="6"/>
      <c r="F34" s="6"/>
      <c r="G34" s="6"/>
    </row>
    <row r="35" spans="1:7" ht="27.95" customHeight="1" x14ac:dyDescent="0.25">
      <c r="A35" s="24"/>
      <c r="B35" s="2">
        <v>5</v>
      </c>
      <c r="C35" s="3" t="s">
        <v>46</v>
      </c>
      <c r="D35" s="4" t="s">
        <v>11</v>
      </c>
      <c r="E35" s="3"/>
      <c r="F35" s="3"/>
      <c r="G35" s="3"/>
    </row>
    <row r="36" spans="1:7" ht="27.95" customHeight="1" x14ac:dyDescent="0.25">
      <c r="A36" s="24"/>
      <c r="B36" s="5">
        <v>6</v>
      </c>
      <c r="C36" s="6" t="s">
        <v>47</v>
      </c>
      <c r="D36" s="7" t="s">
        <v>11</v>
      </c>
      <c r="E36" s="6"/>
      <c r="F36" s="6"/>
      <c r="G36" s="6"/>
    </row>
    <row r="37" spans="1:7" ht="27.95" customHeight="1" x14ac:dyDescent="0.25">
      <c r="A37" s="25"/>
      <c r="B37" s="2">
        <v>7</v>
      </c>
      <c r="C37" s="3" t="s">
        <v>48</v>
      </c>
      <c r="D37" s="4" t="s">
        <v>11</v>
      </c>
      <c r="E37" s="3"/>
      <c r="F37" s="3"/>
      <c r="G37" s="3"/>
    </row>
    <row r="38" spans="1:7" ht="21.95" customHeight="1" x14ac:dyDescent="0.25">
      <c r="A38" s="20" t="s">
        <v>49</v>
      </c>
      <c r="B38" s="21"/>
      <c r="C38" s="8">
        <v>34</v>
      </c>
      <c r="D38" s="9"/>
      <c r="E38" s="9"/>
      <c r="F38" s="9"/>
      <c r="G38" s="9"/>
    </row>
  </sheetData>
  <mergeCells count="8">
    <mergeCell ref="A38:B38"/>
    <mergeCell ref="A1:G1"/>
    <mergeCell ref="A9:A14"/>
    <mergeCell ref="A15:A22"/>
    <mergeCell ref="A4:A8"/>
    <mergeCell ref="A2:G2"/>
    <mergeCell ref="A23:A30"/>
    <mergeCell ref="A31:A37"/>
  </mergeCells>
  <dataValidations count="1">
    <dataValidation type="list" allowBlank="1" sqref="D4 D5 D6 D7 D8 D9 D10 D11 D12 D13 D14 D15 D16 D17 D18 D19 D20 D21 D22 D23 D24 D25 D26 D27 D28 D29 D30 D31 D32 D33 D34 D35 D36 D37" xr:uid="{00000000-0002-0000-0000-000000000000}">
      <formula1>"Pendiente,En progreso,Completada,No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26" customWidth="1"/>
    <col min="2" max="6" width="14" customWidth="1"/>
  </cols>
  <sheetData>
    <row r="1" spans="1:6" ht="27.95" customHeight="1" x14ac:dyDescent="0.25">
      <c r="A1" s="22" t="s">
        <v>0</v>
      </c>
      <c r="B1" s="21"/>
      <c r="C1" s="21"/>
      <c r="D1" s="21"/>
      <c r="E1" s="21"/>
      <c r="F1" s="21"/>
    </row>
    <row r="2" spans="1:6" ht="21.95" customHeight="1" x14ac:dyDescent="0.25">
      <c r="A2" s="28" t="s">
        <v>50</v>
      </c>
      <c r="B2" s="21"/>
      <c r="C2" s="21"/>
      <c r="D2" s="21"/>
      <c r="E2" s="21"/>
      <c r="F2" s="21"/>
    </row>
    <row r="3" spans="1:6" ht="21.95" customHeight="1" x14ac:dyDescent="0.25">
      <c r="A3" s="1" t="s">
        <v>2</v>
      </c>
      <c r="B3" s="1" t="s">
        <v>51</v>
      </c>
      <c r="C3" s="1" t="s">
        <v>11</v>
      </c>
      <c r="D3" s="1" t="s">
        <v>52</v>
      </c>
      <c r="E3" s="1" t="s">
        <v>53</v>
      </c>
      <c r="F3" s="1" t="s">
        <v>54</v>
      </c>
    </row>
    <row r="4" spans="1:6" ht="24" customHeight="1" x14ac:dyDescent="0.25">
      <c r="A4" s="1" t="s">
        <v>9</v>
      </c>
      <c r="B4" s="10">
        <v>5</v>
      </c>
      <c r="C4" s="7">
        <f>COUNTIF(Checklist!D4:D8,"Pendiente")</f>
        <v>5</v>
      </c>
      <c r="D4" s="7">
        <f>COUNTIF(Checklist!D4:D8,"En progreso")</f>
        <v>0</v>
      </c>
      <c r="E4" s="11">
        <f>COUNTIF(Checklist!D4:D8,"Completada")</f>
        <v>0</v>
      </c>
      <c r="F4" s="12">
        <f>COUNTIF(Checklist!D4:D8,"No aplica")</f>
        <v>0</v>
      </c>
    </row>
    <row r="5" spans="1:6" ht="24" customHeight="1" x14ac:dyDescent="0.25">
      <c r="A5" s="13" t="s">
        <v>16</v>
      </c>
      <c r="B5" s="14">
        <v>6</v>
      </c>
      <c r="C5" s="4">
        <f>COUNTIF(Checklist!D9:D14,"Pendiente")</f>
        <v>6</v>
      </c>
      <c r="D5" s="4">
        <f>COUNTIF(Checklist!D9:D14,"En progreso")</f>
        <v>0</v>
      </c>
      <c r="E5" s="15">
        <f>COUNTIF(Checklist!D9:D14,"Completada")</f>
        <v>0</v>
      </c>
      <c r="F5" s="16">
        <f>COUNTIF(Checklist!D9:D14,"No aplica")</f>
        <v>0</v>
      </c>
    </row>
    <row r="6" spans="1:6" ht="24" customHeight="1" x14ac:dyDescent="0.25">
      <c r="A6" s="17" t="s">
        <v>23</v>
      </c>
      <c r="B6" s="10">
        <v>8</v>
      </c>
      <c r="C6" s="7">
        <f>COUNTIF(Checklist!D15:D22,"Pendiente")</f>
        <v>8</v>
      </c>
      <c r="D6" s="7">
        <f>COUNTIF(Checklist!D15:D22,"En progreso")</f>
        <v>0</v>
      </c>
      <c r="E6" s="11">
        <f>COUNTIF(Checklist!D15:D22,"Completada")</f>
        <v>0</v>
      </c>
      <c r="F6" s="12">
        <f>COUNTIF(Checklist!D15:D22,"No aplica")</f>
        <v>0</v>
      </c>
    </row>
    <row r="7" spans="1:6" ht="24" customHeight="1" x14ac:dyDescent="0.25">
      <c r="A7" s="18" t="s">
        <v>32</v>
      </c>
      <c r="B7" s="14">
        <v>8</v>
      </c>
      <c r="C7" s="4">
        <f>COUNTIF(Checklist!D23:D30,"Pendiente")</f>
        <v>8</v>
      </c>
      <c r="D7" s="4">
        <f>COUNTIF(Checklist!D23:D30,"En progreso")</f>
        <v>0</v>
      </c>
      <c r="E7" s="15">
        <f>COUNTIF(Checklist!D23:D30,"Completada")</f>
        <v>0</v>
      </c>
      <c r="F7" s="16">
        <f>COUNTIF(Checklist!D23:D30,"No aplica")</f>
        <v>0</v>
      </c>
    </row>
    <row r="8" spans="1:6" ht="24" customHeight="1" x14ac:dyDescent="0.25">
      <c r="A8" s="19" t="s">
        <v>41</v>
      </c>
      <c r="B8" s="10">
        <v>7</v>
      </c>
      <c r="C8" s="7">
        <f>COUNTIF(Checklist!D31:D37,"Pendiente")</f>
        <v>7</v>
      </c>
      <c r="D8" s="7">
        <f>COUNTIF(Checklist!D31:D37,"En progreso")</f>
        <v>0</v>
      </c>
      <c r="E8" s="11">
        <f>COUNTIF(Checklist!D31:D37,"Completada")</f>
        <v>0</v>
      </c>
      <c r="F8" s="12">
        <f>COUNTIF(Checklist!D31:D37,"No aplica")</f>
        <v>0</v>
      </c>
    </row>
    <row r="9" spans="1:6" ht="24" customHeight="1" x14ac:dyDescent="0.25">
      <c r="A9" s="20" t="s">
        <v>55</v>
      </c>
      <c r="B9" s="8">
        <f>SUM(B4:B8)</f>
        <v>34</v>
      </c>
      <c r="C9" s="8">
        <f>SUM(C4:C8)</f>
        <v>34</v>
      </c>
      <c r="D9" s="8">
        <f>SUM(D4:D8)</f>
        <v>0</v>
      </c>
      <c r="E9" s="8">
        <f>SUM(E4:E8)</f>
        <v>0</v>
      </c>
      <c r="F9" s="8">
        <f>SUM(F4:F8)</f>
        <v>0</v>
      </c>
    </row>
    <row r="11" spans="1:6" x14ac:dyDescent="0.25">
      <c r="A11" s="31" t="s">
        <v>56</v>
      </c>
      <c r="B11" s="21"/>
      <c r="C11" s="21"/>
      <c r="D11" s="21"/>
      <c r="E11" s="21"/>
      <c r="F11" s="21"/>
    </row>
  </sheetData>
  <mergeCells count="4">
    <mergeCell ref="A2:F2"/>
    <mergeCell ref="A11:F11"/>
    <mergeCell ref="A1:F1"/>
    <mergeCell ref="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mvergara@openitnet.com</dc:creator>
  <cp:lastModifiedBy>Mauricio Vergara</cp:lastModifiedBy>
  <dcterms:created xsi:type="dcterms:W3CDTF">2026-05-04T21:44:12Z</dcterms:created>
  <dcterms:modified xsi:type="dcterms:W3CDTF">2026-07-29T22:42:14Z</dcterms:modified>
</cp:coreProperties>
</file>