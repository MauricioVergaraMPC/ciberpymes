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Libro MPC/Capitulos/03- Firewall/Templates/"/>
    </mc:Choice>
  </mc:AlternateContent>
  <xr:revisionPtr revIDLastSave="0" documentId="8_{F0B88EC5-A6B6-4080-A747-D28615844665}" xr6:coauthVersionLast="47" xr6:coauthVersionMax="47" xr10:uidLastSave="{00000000-0000-0000-0000-000000000000}"/>
  <bookViews>
    <workbookView xWindow="32805" yWindow="1305" windowWidth="22275" windowHeight="13665" tabRatio="500" xr2:uid="{00000000-000D-0000-FFFF-FFFF00000000}"/>
  </bookViews>
  <sheets>
    <sheet name="Registro de Despliegue" sheetId="1" r:id="rId1"/>
    <sheet name="Dashboard" sheetId="2" r:id="rId2"/>
    <sheet name="Instructivo" sheetId="3" r:id="rId3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<sst xmlns="http://schemas.openxmlformats.org/spreadsheetml/2006/main" count="162" uniqueCount="76">
  <si>
    <t>Plantilla 3.7 — Listado de Despliegue de Funciones</t>
  </si>
  <si>
    <t>Capítulo 03 · Firewall — Ciberprotección para PyMES</t>
  </si>
  <si>
    <t>N°</t>
  </si>
  <si>
    <t>Función NIST</t>
  </si>
  <si>
    <t>Actividad</t>
  </si>
  <si>
    <t>Nivel de madurez
objetivo</t>
  </si>
  <si>
    <t>Responsable</t>
  </si>
  <si>
    <t>Estado</t>
  </si>
  <si>
    <t>Fecha
objetivo</t>
  </si>
  <si>
    <t>Fecha
completado</t>
  </si>
  <si>
    <t>Evidencia / Observaciones</t>
  </si>
  <si>
    <t>Gobernanza</t>
  </si>
  <si>
    <t>Definir la Política de Uso del Firewall</t>
  </si>
  <si>
    <t>Mínimo</t>
  </si>
  <si>
    <t>Pendiente</t>
  </si>
  <si>
    <t>Establecer el proceso de gestión de cambios</t>
  </si>
  <si>
    <t>Intermedio</t>
  </si>
  <si>
    <t>Identificación</t>
  </si>
  <si>
    <t>Inventariar servicios y puertos expuestos</t>
  </si>
  <si>
    <t>Diseñar subredes internas</t>
  </si>
  <si>
    <t>Diseñar reglas de acceso</t>
  </si>
  <si>
    <t>Determinar Indicadores Claves de Riesgo (KRI)</t>
  </si>
  <si>
    <t>Protección</t>
  </si>
  <si>
    <t>Instalar y configurar firewall</t>
  </si>
  <si>
    <t>Desplegar subredes internas</t>
  </si>
  <si>
    <t>Segurizar consola de administración</t>
  </si>
  <si>
    <t>Configurar servicios de red DHCP / DNS / NTP / Proxy</t>
  </si>
  <si>
    <t>Habilitar IDS / IPS</t>
  </si>
  <si>
    <t>Gestionar reglas de navegación</t>
  </si>
  <si>
    <t>Configurar accesos remotos</t>
  </si>
  <si>
    <t>Habilitar respaldos de configuración</t>
  </si>
  <si>
    <t>Configurar envío de registros al servidor centralizado de logs (LMS)</t>
  </si>
  <si>
    <t>Ejecutar mantenimientos periódicos</t>
  </si>
  <si>
    <t>Detección</t>
  </si>
  <si>
    <t>Monitorizar disponibilidad del dispositivo</t>
  </si>
  <si>
    <t>Habilitar registro de eventos (logging de tráfico permitido y denegado)</t>
  </si>
  <si>
    <t>Integrar los registros del firewall al SIEM</t>
  </si>
  <si>
    <t>Avanzado</t>
  </si>
  <si>
    <t>Monitorizar alertas del IDS/IPS en tiempo real</t>
  </si>
  <si>
    <t>Respuesta</t>
  </si>
  <si>
    <t>Documentar procedimientos para recuperación del firewall</t>
  </si>
  <si>
    <t>Establecer procedimiento de activación de la subred Sandbox</t>
  </si>
  <si>
    <t>Definir protocolos de respuesta ante incidentes</t>
  </si>
  <si>
    <t>Ejecutar pruebas de recuperación</t>
  </si>
  <si>
    <t>Recuperación</t>
  </si>
  <si>
    <t>Restaurar la configuración desde el último respaldo íntegro</t>
  </si>
  <si>
    <t>Verificar que las reglas restauradas corresponden al estado autorizado</t>
  </si>
  <si>
    <t>Restablecer las credenciales de acceso administrativo al dispositivo</t>
  </si>
  <si>
    <t>Ejecutar análisis forense sobre los registros preservados durante la respuesta</t>
  </si>
  <si>
    <t>Realizar análisis post-mortem y actualizar los controles del dominio</t>
  </si>
  <si>
    <t>Instrucciones: complete las columnas Responsable, Estado, Fecha objetivo, Fecha completado y Evidencia / Observaciones para cada actividad. Las columnas N°, Función NIST, Actividad y Nivel de madurez objetivo provienen del Capítulo 03 – Firewall y no deben modificarse. Ejemplo de fila completada: N° 1, Responsable 'J. Pérez (Administrador de Red)', Estado 'Completado', Fecha objetivo 15/08/2026, Fecha completado 10/08/2026.</t>
  </si>
  <si>
    <t>Dashboard de Avance — Despliegue Firewall</t>
  </si>
  <si>
    <t>Resumen General</t>
  </si>
  <si>
    <t>Total de actividades</t>
  </si>
  <si>
    <t>Completadas</t>
  </si>
  <si>
    <t>En progreso</t>
  </si>
  <si>
    <t>Pendientes</t>
  </si>
  <si>
    <t>No aplica</t>
  </si>
  <si>
    <t>% de avance</t>
  </si>
  <si>
    <t>Avance por Función NIST CSF 2.0</t>
  </si>
  <si>
    <t>Función</t>
  </si>
  <si>
    <t>Total</t>
  </si>
  <si>
    <t>% Avance</t>
  </si>
  <si>
    <t>Instructivo de Uso — Plantilla de Listado de Despliegue</t>
  </si>
  <si>
    <t>Propósito</t>
  </si>
  <si>
    <t>Esta plantilla permite a los equipos de TI registrar y dar seguimiento al despliegue de las actividades descritas en el Capítulo 03 – Firewall, organizadas según las seis funciones de NIST CSF 2.0 (Gobernanza, Identificación, Protección, Detección, Respuesta y Recuperación).</t>
  </si>
  <si>
    <t>Hoja "Registro de Despliegue"</t>
  </si>
  <si>
    <t>Contiene las 29 actividades del capítulo. Las columnas N°, Función NIST, Actividad y Nivel de madurez objetivo están prellenadas y no deben modificarse. Complete, para cada actividad: Responsable (persona o rol a cargo), Estado (seleccione de la lista desplegable: Pendiente, En progreso, Completado o No aplica), Fecha objetivo, Fecha completado y Evidencia / Observaciones (enlace, ticket, captura o comentario que respalde el cumplimiento).</t>
  </si>
  <si>
    <t>Nivel de madurez objetivo</t>
  </si>
  <si>
    <t>Referencia al modelo de tres niveles (mínimo / intermedio / avanzado) utilizado en el libro. Indica el nivel mínimo esperado para dar por cumplida la actividad; el equipo puede ajustarlo según el perfil de riesgo de la organización.</t>
  </si>
  <si>
    <t>Estados y colores</t>
  </si>
  <si>
    <t>El color de fondo de la columna Estado cambia automáticamente: rojo (Pendiente), ámbar (En progreso), verde (Completado) y gris (No aplica).</t>
  </si>
  <si>
    <t>Hoja "Dashboard"</t>
  </si>
  <si>
    <t>Se actualiza automáticamente a partir del Registro de Despliegue mediante fórmulas (COUNTA, COUNTIF, COUNTIFS). Muestra el resumen general, el porcentaje de avance total y el avance desglosado por cada función NIST. No requiere edición manual.</t>
  </si>
  <si>
    <t>Recomendación de uso</t>
  </si>
  <si>
    <t>Revisar y actualizar la plantilla en cada reunión de seguimiento del proyecto de segurización del firewall. Se sugiere conservar un histórico (copia con fecha) en cada hito relevante del despliegue.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</si>
</sst>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333333"/>
      <name val="Calibri"/>
      <charset val="1"/>
    </font>
    <font>
      <b/>
      <sz val="10"/>
      <color rgb="FF6E4C9E"/>
      <name val="Calibri"/>
      <charset val="1"/>
    </font>
    <font>
      <b/>
      <sz val="10"/>
      <color rgb="FF1F6FB2"/>
      <name val="Calibri"/>
      <charset val="1"/>
    </font>
    <font>
      <b/>
      <sz val="10"/>
      <color rgb="FF3B6D11"/>
      <name val="Calibri"/>
      <charset val="1"/>
    </font>
    <font>
      <b/>
      <sz val="10"/>
      <color rgb="FFE36C09"/>
      <name val="Calibri"/>
      <charset val="1"/>
    </font>
    <font>
      <b/>
      <sz val="10"/>
      <color rgb="FFA32D2D"/>
      <name val="Calibri"/>
      <charset val="1"/>
    </font>
    <font>
      <b/>
      <sz val="10"/>
      <color rgb="FF5F5E5A"/>
      <name val="Calibri"/>
      <charset val="1"/>
    </font>
    <font>
      <i/>
      <sz val="9"/>
      <color rgb="FF5F5E5A"/>
      <name val="Calibri"/>
      <charset val="1"/>
    </font>
    <font>
      <b/>
      <sz val="10"/>
      <color rgb="FF333333"/>
      <name val="Calibri"/>
      <charset val="1"/>
    </font>
    <font>
      <b/>
      <sz val="11"/>
      <color rgb="FF0F3F6E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1F6FB2"/>
      </patternFill>
    </fill>
    <fill>
      <patternFill patternType="solid">
        <fgColor rgb="FFFFFFFF"/>
        <bgColor rgb="FFF5F5F2"/>
      </patternFill>
    </fill>
    <fill>
      <patternFill patternType="solid">
        <fgColor rgb="FFF5F5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/>
    <xf numFmtId="0" fontId="12" fillId="4" borderId="1" xfId="0" applyFont="1" applyFill="1" applyBorder="1"/>
    <xf numFmtId="9" fontId="4" fillId="5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13" fillId="0" borderId="0" xfId="0" applyFont="1"/>
    <xf numFmtId="0" fontId="4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9" fontId="13" fillId="5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4">
    <dxf>
      <fill>
        <patternFill>
          <bgColor rgb="FFE8E8E8"/>
        </patternFill>
      </fill>
    </dxf>
    <dxf>
      <fill>
        <patternFill>
          <bgColor rgb="FFF4CCCC"/>
        </patternFill>
      </fill>
    </dxf>
    <dxf>
      <fill>
        <patternFill>
          <bgColor rgb="FFFCE8B2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08000"/>
      <rgbColor rgb="FF800080"/>
      <rgbColor rgb="FF1F6FB2"/>
      <rgbColor rgb="FFBFBFBF"/>
      <rgbColor rgb="FF5F5E5A"/>
      <rgbColor rgb="FF9999FF"/>
      <rgbColor rgb="FF993366"/>
      <rgbColor rgb="FFF5F5F2"/>
      <rgbColor rgb="FFE8E8E8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E36C09"/>
      <rgbColor rgb="FF6E4C9E"/>
      <rgbColor rgb="FF969696"/>
      <rgbColor rgb="FF0F3F6E"/>
      <rgbColor rgb="FF339966"/>
      <rgbColor rgb="FF003300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I1"/>
    </sheetView>
  </sheetViews>
  <sheetFormatPr baseColWidth="10" defaultColWidth="8.7109375" defaultRowHeight="15" x14ac:dyDescent="0.25"/>
  <cols>
    <col min="1" max="1" width="5" customWidth="1"/>
    <col min="2" max="2" width="18" customWidth="1"/>
    <col min="3" max="3" width="52" customWidth="1"/>
    <col min="4" max="4" width="14" customWidth="1"/>
    <col min="5" max="5" width="18" customWidth="1"/>
    <col min="6" max="6" width="16" customWidth="1"/>
    <col min="7" max="8" width="14" customWidth="1"/>
    <col min="9" max="9" width="34" customWidth="1"/>
  </cols>
  <sheetData>
    <row r="1" spans="1:9" ht="25.5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19.5" customHeight="1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</row>
    <row r="3" spans="1:9" ht="6" customHeight="1" x14ac:dyDescent="0.25"/>
    <row r="4" spans="1:9" ht="33.7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30" customHeight="1" x14ac:dyDescent="0.25">
      <c r="A5" s="2">
        <v>1</v>
      </c>
      <c r="B5" s="3" t="s">
        <v>11</v>
      </c>
      <c r="C5" s="4" t="s">
        <v>12</v>
      </c>
      <c r="D5" s="2" t="s">
        <v>13</v>
      </c>
      <c r="E5" s="4"/>
      <c r="F5" s="2" t="s">
        <v>14</v>
      </c>
      <c r="G5" s="5"/>
      <c r="H5" s="5"/>
      <c r="I5" s="4"/>
    </row>
    <row r="6" spans="1:9" ht="30" customHeight="1" x14ac:dyDescent="0.25">
      <c r="A6" s="6">
        <v>2</v>
      </c>
      <c r="B6" s="7" t="s">
        <v>11</v>
      </c>
      <c r="C6" s="8" t="s">
        <v>15</v>
      </c>
      <c r="D6" s="6" t="s">
        <v>16</v>
      </c>
      <c r="E6" s="8"/>
      <c r="F6" s="6" t="s">
        <v>14</v>
      </c>
      <c r="G6" s="9"/>
      <c r="H6" s="9"/>
      <c r="I6" s="8"/>
    </row>
    <row r="7" spans="1:9" ht="30" customHeight="1" x14ac:dyDescent="0.25">
      <c r="A7" s="2">
        <v>3</v>
      </c>
      <c r="B7" s="10" t="s">
        <v>17</v>
      </c>
      <c r="C7" s="4" t="s">
        <v>18</v>
      </c>
      <c r="D7" s="2" t="s">
        <v>13</v>
      </c>
      <c r="E7" s="4"/>
      <c r="F7" s="2" t="s">
        <v>14</v>
      </c>
      <c r="G7" s="5"/>
      <c r="H7" s="5"/>
      <c r="I7" s="4"/>
    </row>
    <row r="8" spans="1:9" ht="30" customHeight="1" x14ac:dyDescent="0.25">
      <c r="A8" s="6">
        <v>4</v>
      </c>
      <c r="B8" s="11" t="s">
        <v>17</v>
      </c>
      <c r="C8" s="8" t="s">
        <v>19</v>
      </c>
      <c r="D8" s="6" t="s">
        <v>13</v>
      </c>
      <c r="E8" s="8"/>
      <c r="F8" s="6" t="s">
        <v>14</v>
      </c>
      <c r="G8" s="9"/>
      <c r="H8" s="9"/>
      <c r="I8" s="8"/>
    </row>
    <row r="9" spans="1:9" ht="30" customHeight="1" x14ac:dyDescent="0.25">
      <c r="A9" s="2">
        <v>5</v>
      </c>
      <c r="B9" s="10" t="s">
        <v>17</v>
      </c>
      <c r="C9" s="4" t="s">
        <v>20</v>
      </c>
      <c r="D9" s="2" t="s">
        <v>13</v>
      </c>
      <c r="E9" s="4"/>
      <c r="F9" s="2" t="s">
        <v>14</v>
      </c>
      <c r="G9" s="5"/>
      <c r="H9" s="5"/>
      <c r="I9" s="4"/>
    </row>
    <row r="10" spans="1:9" ht="30" customHeight="1" x14ac:dyDescent="0.25">
      <c r="A10" s="6">
        <v>6</v>
      </c>
      <c r="B10" s="11" t="s">
        <v>17</v>
      </c>
      <c r="C10" s="8" t="s">
        <v>21</v>
      </c>
      <c r="D10" s="6" t="s">
        <v>16</v>
      </c>
      <c r="E10" s="8"/>
      <c r="F10" s="6" t="s">
        <v>14</v>
      </c>
      <c r="G10" s="9"/>
      <c r="H10" s="9"/>
      <c r="I10" s="8"/>
    </row>
    <row r="11" spans="1:9" ht="30" customHeight="1" x14ac:dyDescent="0.25">
      <c r="A11" s="2">
        <v>7</v>
      </c>
      <c r="B11" s="12" t="s">
        <v>22</v>
      </c>
      <c r="C11" s="4" t="s">
        <v>23</v>
      </c>
      <c r="D11" s="2" t="s">
        <v>13</v>
      </c>
      <c r="E11" s="4"/>
      <c r="F11" s="2" t="s">
        <v>14</v>
      </c>
      <c r="G11" s="5"/>
      <c r="H11" s="5"/>
      <c r="I11" s="4"/>
    </row>
    <row r="12" spans="1:9" ht="30" customHeight="1" x14ac:dyDescent="0.25">
      <c r="A12" s="6">
        <v>8</v>
      </c>
      <c r="B12" s="13" t="s">
        <v>22</v>
      </c>
      <c r="C12" s="8" t="s">
        <v>24</v>
      </c>
      <c r="D12" s="6" t="s">
        <v>13</v>
      </c>
      <c r="E12" s="8"/>
      <c r="F12" s="6" t="s">
        <v>14</v>
      </c>
      <c r="G12" s="9"/>
      <c r="H12" s="9"/>
      <c r="I12" s="8"/>
    </row>
    <row r="13" spans="1:9" ht="30" customHeight="1" x14ac:dyDescent="0.25">
      <c r="A13" s="2">
        <v>9</v>
      </c>
      <c r="B13" s="12" t="s">
        <v>22</v>
      </c>
      <c r="C13" s="4" t="s">
        <v>25</v>
      </c>
      <c r="D13" s="2" t="s">
        <v>13</v>
      </c>
      <c r="E13" s="4"/>
      <c r="F13" s="2" t="s">
        <v>14</v>
      </c>
      <c r="G13" s="5"/>
      <c r="H13" s="5"/>
      <c r="I13" s="4"/>
    </row>
    <row r="14" spans="1:9" ht="30" customHeight="1" x14ac:dyDescent="0.25">
      <c r="A14" s="6">
        <v>10</v>
      </c>
      <c r="B14" s="13" t="s">
        <v>22</v>
      </c>
      <c r="C14" s="8" t="s">
        <v>26</v>
      </c>
      <c r="D14" s="6" t="s">
        <v>13</v>
      </c>
      <c r="E14" s="8"/>
      <c r="F14" s="6" t="s">
        <v>14</v>
      </c>
      <c r="G14" s="9"/>
      <c r="H14" s="9"/>
      <c r="I14" s="8"/>
    </row>
    <row r="15" spans="1:9" ht="30" customHeight="1" x14ac:dyDescent="0.25">
      <c r="A15" s="2">
        <v>11</v>
      </c>
      <c r="B15" s="12" t="s">
        <v>22</v>
      </c>
      <c r="C15" s="4" t="s">
        <v>27</v>
      </c>
      <c r="D15" s="2" t="s">
        <v>16</v>
      </c>
      <c r="E15" s="4"/>
      <c r="F15" s="2" t="s">
        <v>14</v>
      </c>
      <c r="G15" s="5"/>
      <c r="H15" s="5"/>
      <c r="I15" s="4"/>
    </row>
    <row r="16" spans="1:9" ht="30" customHeight="1" x14ac:dyDescent="0.25">
      <c r="A16" s="6">
        <v>12</v>
      </c>
      <c r="B16" s="13" t="s">
        <v>22</v>
      </c>
      <c r="C16" s="8" t="s">
        <v>28</v>
      </c>
      <c r="D16" s="6" t="s">
        <v>13</v>
      </c>
      <c r="E16" s="8"/>
      <c r="F16" s="6" t="s">
        <v>14</v>
      </c>
      <c r="G16" s="9"/>
      <c r="H16" s="9"/>
      <c r="I16" s="8"/>
    </row>
    <row r="17" spans="1:9" ht="30" customHeight="1" x14ac:dyDescent="0.25">
      <c r="A17" s="2">
        <v>13</v>
      </c>
      <c r="B17" s="12" t="s">
        <v>22</v>
      </c>
      <c r="C17" s="4" t="s">
        <v>29</v>
      </c>
      <c r="D17" s="2" t="s">
        <v>13</v>
      </c>
      <c r="E17" s="4"/>
      <c r="F17" s="2" t="s">
        <v>14</v>
      </c>
      <c r="G17" s="5"/>
      <c r="H17" s="5"/>
      <c r="I17" s="4"/>
    </row>
    <row r="18" spans="1:9" ht="30" customHeight="1" x14ac:dyDescent="0.25">
      <c r="A18" s="6">
        <v>14</v>
      </c>
      <c r="B18" s="13" t="s">
        <v>22</v>
      </c>
      <c r="C18" s="8" t="s">
        <v>30</v>
      </c>
      <c r="D18" s="6" t="s">
        <v>13</v>
      </c>
      <c r="E18" s="8"/>
      <c r="F18" s="6" t="s">
        <v>14</v>
      </c>
      <c r="G18" s="9"/>
      <c r="H18" s="9"/>
      <c r="I18" s="8"/>
    </row>
    <row r="19" spans="1:9" ht="30" customHeight="1" x14ac:dyDescent="0.25">
      <c r="A19" s="2">
        <v>15</v>
      </c>
      <c r="B19" s="12" t="s">
        <v>22</v>
      </c>
      <c r="C19" s="4" t="s">
        <v>31</v>
      </c>
      <c r="D19" s="2" t="s">
        <v>16</v>
      </c>
      <c r="E19" s="4"/>
      <c r="F19" s="2" t="s">
        <v>14</v>
      </c>
      <c r="G19" s="5"/>
      <c r="H19" s="5"/>
      <c r="I19" s="4"/>
    </row>
    <row r="20" spans="1:9" ht="30" customHeight="1" x14ac:dyDescent="0.25">
      <c r="A20" s="6">
        <v>16</v>
      </c>
      <c r="B20" s="13" t="s">
        <v>22</v>
      </c>
      <c r="C20" s="8" t="s">
        <v>32</v>
      </c>
      <c r="D20" s="6" t="s">
        <v>13</v>
      </c>
      <c r="E20" s="8"/>
      <c r="F20" s="6" t="s">
        <v>14</v>
      </c>
      <c r="G20" s="9"/>
      <c r="H20" s="9"/>
      <c r="I20" s="8"/>
    </row>
    <row r="21" spans="1:9" ht="30" customHeight="1" x14ac:dyDescent="0.25">
      <c r="A21" s="2">
        <v>17</v>
      </c>
      <c r="B21" s="14" t="s">
        <v>33</v>
      </c>
      <c r="C21" s="4" t="s">
        <v>34</v>
      </c>
      <c r="D21" s="2" t="s">
        <v>13</v>
      </c>
      <c r="E21" s="4"/>
      <c r="F21" s="2" t="s">
        <v>14</v>
      </c>
      <c r="G21" s="5"/>
      <c r="H21" s="5"/>
      <c r="I21" s="4"/>
    </row>
    <row r="22" spans="1:9" ht="30" customHeight="1" x14ac:dyDescent="0.25">
      <c r="A22" s="6">
        <v>18</v>
      </c>
      <c r="B22" s="15" t="s">
        <v>33</v>
      </c>
      <c r="C22" s="8" t="s">
        <v>35</v>
      </c>
      <c r="D22" s="6" t="s">
        <v>13</v>
      </c>
      <c r="E22" s="8"/>
      <c r="F22" s="6" t="s">
        <v>14</v>
      </c>
      <c r="G22" s="9"/>
      <c r="H22" s="9"/>
      <c r="I22" s="8"/>
    </row>
    <row r="23" spans="1:9" ht="30" customHeight="1" x14ac:dyDescent="0.25">
      <c r="A23" s="2">
        <v>19</v>
      </c>
      <c r="B23" s="14" t="s">
        <v>33</v>
      </c>
      <c r="C23" s="4" t="s">
        <v>36</v>
      </c>
      <c r="D23" s="2" t="s">
        <v>37</v>
      </c>
      <c r="E23" s="4"/>
      <c r="F23" s="2" t="s">
        <v>14</v>
      </c>
      <c r="G23" s="5"/>
      <c r="H23" s="5"/>
      <c r="I23" s="4"/>
    </row>
    <row r="24" spans="1:9" ht="30" customHeight="1" x14ac:dyDescent="0.25">
      <c r="A24" s="6">
        <v>20</v>
      </c>
      <c r="B24" s="15" t="s">
        <v>33</v>
      </c>
      <c r="C24" s="8" t="s">
        <v>38</v>
      </c>
      <c r="D24" s="6" t="s">
        <v>16</v>
      </c>
      <c r="E24" s="8"/>
      <c r="F24" s="6" t="s">
        <v>14</v>
      </c>
      <c r="G24" s="9"/>
      <c r="H24" s="9"/>
      <c r="I24" s="8"/>
    </row>
    <row r="25" spans="1:9" ht="30" customHeight="1" x14ac:dyDescent="0.25">
      <c r="A25" s="2">
        <v>21</v>
      </c>
      <c r="B25" s="16" t="s">
        <v>39</v>
      </c>
      <c r="C25" s="4" t="s">
        <v>40</v>
      </c>
      <c r="D25" s="2" t="s">
        <v>13</v>
      </c>
      <c r="E25" s="4"/>
      <c r="F25" s="2" t="s">
        <v>14</v>
      </c>
      <c r="G25" s="5"/>
      <c r="H25" s="5"/>
      <c r="I25" s="4"/>
    </row>
    <row r="26" spans="1:9" ht="30" customHeight="1" x14ac:dyDescent="0.25">
      <c r="A26" s="6">
        <v>22</v>
      </c>
      <c r="B26" s="17" t="s">
        <v>39</v>
      </c>
      <c r="C26" s="8" t="s">
        <v>41</v>
      </c>
      <c r="D26" s="6" t="s">
        <v>37</v>
      </c>
      <c r="E26" s="8"/>
      <c r="F26" s="6" t="s">
        <v>14</v>
      </c>
      <c r="G26" s="9"/>
      <c r="H26" s="9"/>
      <c r="I26" s="8"/>
    </row>
    <row r="27" spans="1:9" ht="30" customHeight="1" x14ac:dyDescent="0.25">
      <c r="A27" s="2">
        <v>23</v>
      </c>
      <c r="B27" s="16" t="s">
        <v>39</v>
      </c>
      <c r="C27" s="4" t="s">
        <v>42</v>
      </c>
      <c r="D27" s="2" t="s">
        <v>16</v>
      </c>
      <c r="E27" s="4"/>
      <c r="F27" s="2" t="s">
        <v>14</v>
      </c>
      <c r="G27" s="5"/>
      <c r="H27" s="5"/>
      <c r="I27" s="4"/>
    </row>
    <row r="28" spans="1:9" ht="30" customHeight="1" x14ac:dyDescent="0.25">
      <c r="A28" s="6">
        <v>24</v>
      </c>
      <c r="B28" s="17" t="s">
        <v>39</v>
      </c>
      <c r="C28" s="8" t="s">
        <v>43</v>
      </c>
      <c r="D28" s="6" t="s">
        <v>16</v>
      </c>
      <c r="E28" s="8"/>
      <c r="F28" s="6" t="s">
        <v>14</v>
      </c>
      <c r="G28" s="9"/>
      <c r="H28" s="9"/>
      <c r="I28" s="8"/>
    </row>
    <row r="29" spans="1:9" ht="30" customHeight="1" x14ac:dyDescent="0.25">
      <c r="A29" s="2">
        <v>25</v>
      </c>
      <c r="B29" s="18" t="s">
        <v>44</v>
      </c>
      <c r="C29" s="4" t="s">
        <v>45</v>
      </c>
      <c r="D29" s="2" t="s">
        <v>13</v>
      </c>
      <c r="E29" s="4"/>
      <c r="F29" s="2" t="s">
        <v>14</v>
      </c>
      <c r="G29" s="5"/>
      <c r="H29" s="5"/>
      <c r="I29" s="4"/>
    </row>
    <row r="30" spans="1:9" ht="30" customHeight="1" x14ac:dyDescent="0.25">
      <c r="A30" s="6">
        <v>26</v>
      </c>
      <c r="B30" s="19" t="s">
        <v>44</v>
      </c>
      <c r="C30" s="8" t="s">
        <v>46</v>
      </c>
      <c r="D30" s="6" t="s">
        <v>13</v>
      </c>
      <c r="E30" s="8"/>
      <c r="F30" s="6" t="s">
        <v>14</v>
      </c>
      <c r="G30" s="9"/>
      <c r="H30" s="9"/>
      <c r="I30" s="8"/>
    </row>
    <row r="31" spans="1:9" ht="30" customHeight="1" x14ac:dyDescent="0.25">
      <c r="A31" s="2">
        <v>27</v>
      </c>
      <c r="B31" s="18" t="s">
        <v>44</v>
      </c>
      <c r="C31" s="4" t="s">
        <v>47</v>
      </c>
      <c r="D31" s="2" t="s">
        <v>13</v>
      </c>
      <c r="E31" s="4"/>
      <c r="F31" s="2" t="s">
        <v>14</v>
      </c>
      <c r="G31" s="5"/>
      <c r="H31" s="5"/>
      <c r="I31" s="4"/>
    </row>
    <row r="32" spans="1:9" ht="30" customHeight="1" x14ac:dyDescent="0.25">
      <c r="A32" s="6">
        <v>28</v>
      </c>
      <c r="B32" s="19" t="s">
        <v>44</v>
      </c>
      <c r="C32" s="8" t="s">
        <v>48</v>
      </c>
      <c r="D32" s="6" t="s">
        <v>37</v>
      </c>
      <c r="E32" s="8"/>
      <c r="F32" s="6" t="s">
        <v>14</v>
      </c>
      <c r="G32" s="9"/>
      <c r="H32" s="9"/>
      <c r="I32" s="8"/>
    </row>
    <row r="33" spans="1:9" ht="30" customHeight="1" x14ac:dyDescent="0.25">
      <c r="A33" s="2">
        <v>29</v>
      </c>
      <c r="B33" s="18" t="s">
        <v>44</v>
      </c>
      <c r="C33" s="4" t="s">
        <v>49</v>
      </c>
      <c r="D33" s="2" t="s">
        <v>16</v>
      </c>
      <c r="E33" s="4"/>
      <c r="F33" s="2" t="s">
        <v>14</v>
      </c>
      <c r="G33" s="5"/>
      <c r="H33" s="5"/>
      <c r="I33" s="4"/>
    </row>
    <row r="35" spans="1:9" ht="43.5" customHeight="1" x14ac:dyDescent="0.25">
      <c r="A35" s="29" t="s">
        <v>50</v>
      </c>
      <c r="B35" s="29"/>
      <c r="C35" s="29"/>
      <c r="D35" s="29"/>
      <c r="E35" s="29"/>
      <c r="F35" s="29"/>
      <c r="G35" s="29"/>
      <c r="H35" s="29"/>
      <c r="I35" s="29"/>
    </row>
  </sheetData>
  <mergeCells count="3">
    <mergeCell ref="A1:I1"/>
    <mergeCell ref="A2:I2"/>
    <mergeCell ref="A35:I35"/>
  </mergeCells>
  <conditionalFormatting sqref="F5:F33">
    <cfRule type="cellIs" dxfId="3" priority="2" operator="equal">
      <formula>"Completado"</formula>
    </cfRule>
    <cfRule type="cellIs" dxfId="2" priority="3" operator="equal">
      <formula>"En progreso"</formula>
    </cfRule>
    <cfRule type="cellIs" dxfId="1" priority="4" operator="equal">
      <formula>"Pendiente"</formula>
    </cfRule>
    <cfRule type="cellIs" dxfId="0" priority="5" operator="equal">
      <formula>"No aplica"</formula>
    </cfRule>
  </conditionalFormatting>
  <dataValidations count="2">
    <dataValidation type="list" errorTitle="Nivel inválido" error="Seleccione un nivel válido de la lista." sqref="D5:D33" xr:uid="{00000000-0002-0000-0000-000000000000}">
      <formula1>"Mínimo,Intermedio,Avanzado"</formula1>
      <formula2>0</formula2>
    </dataValidation>
    <dataValidation type="list" errorTitle="Estado inválido" error="Seleccione un estado válido de la lista." sqref="F5:F33" xr:uid="{00000000-0002-0000-0000-000001000000}">
      <formula1>"Pendiente,En progreso,Completado,No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showGridLines="0" zoomScaleNormal="100" workbookViewId="0">
      <pane ySplit="1" topLeftCell="A2" activePane="bottomLeft" state="frozen"/>
      <selection pane="bottomLeft" sqref="A1:F1"/>
    </sheetView>
  </sheetViews>
  <sheetFormatPr baseColWidth="10" defaultColWidth="8.7109375" defaultRowHeight="15" x14ac:dyDescent="0.25"/>
  <cols>
    <col min="1" max="1" width="22" customWidth="1"/>
    <col min="2" max="5" width="14" customWidth="1"/>
    <col min="6" max="6" width="16" customWidth="1"/>
  </cols>
  <sheetData>
    <row r="1" spans="1:6" ht="25.5" customHeight="1" x14ac:dyDescent="0.25">
      <c r="A1" s="27" t="s">
        <v>51</v>
      </c>
      <c r="B1" s="27"/>
      <c r="C1" s="27"/>
      <c r="D1" s="27"/>
      <c r="E1" s="27"/>
      <c r="F1" s="27"/>
    </row>
    <row r="2" spans="1:6" ht="6" customHeight="1" x14ac:dyDescent="0.25"/>
    <row r="3" spans="1:6" ht="19.5" customHeight="1" x14ac:dyDescent="0.25">
      <c r="A3" s="33" t="s">
        <v>52</v>
      </c>
      <c r="B3" s="33"/>
      <c r="C3" s="33"/>
      <c r="D3" s="33"/>
      <c r="E3" s="33"/>
      <c r="F3" s="33"/>
    </row>
    <row r="4" spans="1:6" x14ac:dyDescent="0.25">
      <c r="A4" s="20" t="s">
        <v>53</v>
      </c>
      <c r="B4" s="31">
        <f>COUNTA('Registro de Despliegue'!$B$5:$B$33)</f>
        <v>29</v>
      </c>
      <c r="C4" s="31"/>
    </row>
    <row r="5" spans="1:6" x14ac:dyDescent="0.25">
      <c r="A5" s="21" t="s">
        <v>54</v>
      </c>
      <c r="B5" s="30">
        <f>COUNTIF('Registro de Despliegue'!$F$5:$F$33,"Completado")</f>
        <v>0</v>
      </c>
      <c r="C5" s="30"/>
    </row>
    <row r="6" spans="1:6" x14ac:dyDescent="0.25">
      <c r="A6" s="20" t="s">
        <v>55</v>
      </c>
      <c r="B6" s="31">
        <f>COUNTIF('Registro de Despliegue'!$F$5:$F$33,"En progreso")</f>
        <v>0</v>
      </c>
      <c r="C6" s="31"/>
    </row>
    <row r="7" spans="1:6" x14ac:dyDescent="0.25">
      <c r="A7" s="21" t="s">
        <v>56</v>
      </c>
      <c r="B7" s="30">
        <f>COUNTIF('Registro de Despliegue'!$F$5:$F$33,"Pendiente")</f>
        <v>29</v>
      </c>
      <c r="C7" s="30"/>
    </row>
    <row r="8" spans="1:6" x14ac:dyDescent="0.25">
      <c r="A8" s="20" t="s">
        <v>57</v>
      </c>
      <c r="B8" s="31">
        <f>COUNTIF('Registro de Despliegue'!$F$5:$F$33,"No aplica")</f>
        <v>0</v>
      </c>
      <c r="C8" s="31"/>
    </row>
    <row r="9" spans="1:6" x14ac:dyDescent="0.25">
      <c r="A9" s="21" t="s">
        <v>58</v>
      </c>
      <c r="B9" s="32">
        <f>IFERROR(B5/(B4-B8),0)</f>
        <v>0</v>
      </c>
      <c r="C9" s="32"/>
    </row>
    <row r="10" spans="1:6" ht="7.5" customHeight="1" x14ac:dyDescent="0.25"/>
    <row r="11" spans="1:6" ht="19.5" customHeight="1" x14ac:dyDescent="0.25">
      <c r="A11" s="33" t="s">
        <v>59</v>
      </c>
      <c r="B11" s="33"/>
      <c r="C11" s="33"/>
      <c r="D11" s="33"/>
      <c r="E11" s="33"/>
      <c r="F11" s="33"/>
    </row>
    <row r="12" spans="1:6" ht="18" customHeight="1" x14ac:dyDescent="0.25">
      <c r="A12" s="1" t="s">
        <v>60</v>
      </c>
      <c r="B12" s="1" t="s">
        <v>61</v>
      </c>
      <c r="C12" s="1" t="s">
        <v>54</v>
      </c>
      <c r="D12" s="1" t="s">
        <v>55</v>
      </c>
      <c r="E12" s="1" t="s">
        <v>56</v>
      </c>
      <c r="F12" s="1" t="s">
        <v>62</v>
      </c>
    </row>
    <row r="13" spans="1:6" x14ac:dyDescent="0.25">
      <c r="A13" s="7" t="s">
        <v>11</v>
      </c>
      <c r="B13" s="6">
        <f>COUNTIF('Registro de Despliegue'!$B$5:$B$33,"Gobernanza")</f>
        <v>2</v>
      </c>
      <c r="C13" s="6">
        <f>COUNTIFS('Registro de Despliegue'!$B$5:$B$33,"Gobernanza",'Registro de Despliegue'!$F$5:$F$33,"Completado")</f>
        <v>0</v>
      </c>
      <c r="D13" s="6">
        <f>COUNTIFS('Registro de Despliegue'!$B$5:$B$33,"Gobernanza",'Registro de Despliegue'!$F$5:$F$33,"En progreso")</f>
        <v>0</v>
      </c>
      <c r="E13" s="6">
        <f>COUNTIFS('Registro de Despliegue'!$B$5:$B$33,"Gobernanza",'Registro de Despliegue'!$F$5:$F$33,"Pendiente")</f>
        <v>2</v>
      </c>
      <c r="F13" s="22">
        <f t="shared" ref="F13:F18" si="0">IFERROR(C13/B13,0)</f>
        <v>0</v>
      </c>
    </row>
    <row r="14" spans="1:6" x14ac:dyDescent="0.25">
      <c r="A14" s="10" t="s">
        <v>17</v>
      </c>
      <c r="B14" s="2">
        <f>COUNTIF('Registro de Despliegue'!$B$5:$B$33,"Identificación")</f>
        <v>4</v>
      </c>
      <c r="C14" s="2">
        <f>COUNTIFS('Registro de Despliegue'!$B$5:$B$33,"Identificación",'Registro de Despliegue'!$F$5:$F$33,"Completado")</f>
        <v>0</v>
      </c>
      <c r="D14" s="2">
        <f>COUNTIFS('Registro de Despliegue'!$B$5:$B$33,"Identificación",'Registro de Despliegue'!$F$5:$F$33,"En progreso")</f>
        <v>0</v>
      </c>
      <c r="E14" s="2">
        <f>COUNTIFS('Registro de Despliegue'!$B$5:$B$33,"Identificación",'Registro de Despliegue'!$F$5:$F$33,"Pendiente")</f>
        <v>4</v>
      </c>
      <c r="F14" s="23">
        <f t="shared" si="0"/>
        <v>0</v>
      </c>
    </row>
    <row r="15" spans="1:6" x14ac:dyDescent="0.25">
      <c r="A15" s="13" t="s">
        <v>22</v>
      </c>
      <c r="B15" s="6">
        <f>COUNTIF('Registro de Despliegue'!$B$5:$B$33,"Protección")</f>
        <v>10</v>
      </c>
      <c r="C15" s="6">
        <f>COUNTIFS('Registro de Despliegue'!$B$5:$B$33,"Protección",'Registro de Despliegue'!$F$5:$F$33,"Completado")</f>
        <v>0</v>
      </c>
      <c r="D15" s="6">
        <f>COUNTIFS('Registro de Despliegue'!$B$5:$B$33,"Protección",'Registro de Despliegue'!$F$5:$F$33,"En progreso")</f>
        <v>0</v>
      </c>
      <c r="E15" s="6">
        <f>COUNTIFS('Registro de Despliegue'!$B$5:$B$33,"Protección",'Registro de Despliegue'!$F$5:$F$33,"Pendiente")</f>
        <v>10</v>
      </c>
      <c r="F15" s="22">
        <f t="shared" si="0"/>
        <v>0</v>
      </c>
    </row>
    <row r="16" spans="1:6" x14ac:dyDescent="0.25">
      <c r="A16" s="14" t="s">
        <v>33</v>
      </c>
      <c r="B16" s="2">
        <f>COUNTIF('Registro de Despliegue'!$B$5:$B$33,"Detección")</f>
        <v>4</v>
      </c>
      <c r="C16" s="2">
        <f>COUNTIFS('Registro de Despliegue'!$B$5:$B$33,"Detección",'Registro de Despliegue'!$F$5:$F$33,"Completado")</f>
        <v>0</v>
      </c>
      <c r="D16" s="2">
        <f>COUNTIFS('Registro de Despliegue'!$B$5:$B$33,"Detección",'Registro de Despliegue'!$F$5:$F$33,"En progreso")</f>
        <v>0</v>
      </c>
      <c r="E16" s="2">
        <f>COUNTIFS('Registro de Despliegue'!$B$5:$B$33,"Detección",'Registro de Despliegue'!$F$5:$F$33,"Pendiente")</f>
        <v>4</v>
      </c>
      <c r="F16" s="23">
        <f t="shared" si="0"/>
        <v>0</v>
      </c>
    </row>
    <row r="17" spans="1:6" x14ac:dyDescent="0.25">
      <c r="A17" s="17" t="s">
        <v>39</v>
      </c>
      <c r="B17" s="6">
        <f>COUNTIF('Registro de Despliegue'!$B$5:$B$33,"Respuesta")</f>
        <v>4</v>
      </c>
      <c r="C17" s="6">
        <f>COUNTIFS('Registro de Despliegue'!$B$5:$B$33,"Respuesta",'Registro de Despliegue'!$F$5:$F$33,"Completado")</f>
        <v>0</v>
      </c>
      <c r="D17" s="6">
        <f>COUNTIFS('Registro de Despliegue'!$B$5:$B$33,"Respuesta",'Registro de Despliegue'!$F$5:$F$33,"En progreso")</f>
        <v>0</v>
      </c>
      <c r="E17" s="6">
        <f>COUNTIFS('Registro de Despliegue'!$B$5:$B$33,"Respuesta",'Registro de Despliegue'!$F$5:$F$33,"Pendiente")</f>
        <v>4</v>
      </c>
      <c r="F17" s="22">
        <f t="shared" si="0"/>
        <v>0</v>
      </c>
    </row>
    <row r="18" spans="1:6" x14ac:dyDescent="0.25">
      <c r="A18" s="18" t="s">
        <v>44</v>
      </c>
      <c r="B18" s="2">
        <f>COUNTIF('Registro de Despliegue'!$B$5:$B$33,"Recuperación")</f>
        <v>5</v>
      </c>
      <c r="C18" s="2">
        <f>COUNTIFS('Registro de Despliegue'!$B$5:$B$33,"Recuperación",'Registro de Despliegue'!$F$5:$F$33,"Completado")</f>
        <v>0</v>
      </c>
      <c r="D18" s="2">
        <f>COUNTIFS('Registro de Despliegue'!$B$5:$B$33,"Recuperación",'Registro de Despliegue'!$F$5:$F$33,"En progreso")</f>
        <v>0</v>
      </c>
      <c r="E18" s="2">
        <f>COUNTIFS('Registro de Despliegue'!$B$5:$B$33,"Recuperación",'Registro de Despliegue'!$F$5:$F$33,"Pendiente")</f>
        <v>5</v>
      </c>
      <c r="F18" s="23">
        <f t="shared" si="0"/>
        <v>0</v>
      </c>
    </row>
  </sheetData>
  <mergeCells count="9">
    <mergeCell ref="B7:C7"/>
    <mergeCell ref="B8:C8"/>
    <mergeCell ref="B9:C9"/>
    <mergeCell ref="A11:F11"/>
    <mergeCell ref="A1:F1"/>
    <mergeCell ref="A3:F3"/>
    <mergeCell ref="B4:C4"/>
    <mergeCell ref="B5:C5"/>
    <mergeCell ref="B6:C6"/>
  </mergeCells>
  <conditionalFormatting sqref="F13:F18">
    <cfRule type="dataBar" priority="2">
      <dataBar>
        <cfvo type="num" val="0"/>
        <cfvo type="num" val="1"/>
        <color rgb="FF185FA5"/>
      </dataBar>
      <extLst>
        <ext xmlns:x14="http://schemas.microsoft.com/office/spreadsheetml/2009/9/main" uri="{B025F937-C7B1-47D3-B67F-A62EFF666E3E}">
          <x14:id>{D22B2773-3799-4565-8557-71E3705CB242}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2B2773-3799-4565-8557-71E3705CB242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185FA5"/>
            </x14:dataBar>
          </x14:cfRule>
          <xm:sqref>F13:F18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showGridLines="0" zoomScaleNormal="100" workbookViewId="0"/>
  </sheetViews>
  <sheetFormatPr baseColWidth="10" defaultColWidth="8.7109375" defaultRowHeight="15" x14ac:dyDescent="0.25"/>
  <cols>
    <col min="1" max="1" width="100" customWidth="1"/>
  </cols>
  <sheetData>
    <row r="1" spans="1:1" ht="27.75" customHeight="1" x14ac:dyDescent="0.25">
      <c r="A1" s="24" t="s">
        <v>63</v>
      </c>
    </row>
    <row r="2" spans="1:1" ht="7.5" customHeight="1" x14ac:dyDescent="0.25"/>
    <row r="3" spans="1:1" ht="15.75" customHeight="1" x14ac:dyDescent="0.25">
      <c r="A3" s="25" t="s">
        <v>64</v>
      </c>
    </row>
    <row r="4" spans="1:1" ht="60" customHeight="1" x14ac:dyDescent="0.25">
      <c r="A4" s="26" t="s">
        <v>65</v>
      </c>
    </row>
    <row r="5" spans="1:1" ht="6" customHeight="1" x14ac:dyDescent="0.25"/>
    <row r="6" spans="1:1" ht="15.75" customHeight="1" x14ac:dyDescent="0.25">
      <c r="A6" s="25" t="s">
        <v>66</v>
      </c>
    </row>
    <row r="7" spans="1:1" ht="60" customHeight="1" x14ac:dyDescent="0.25">
      <c r="A7" s="26" t="s">
        <v>67</v>
      </c>
    </row>
    <row r="8" spans="1:1" ht="6" customHeight="1" x14ac:dyDescent="0.25"/>
    <row r="9" spans="1:1" ht="15.75" customHeight="1" x14ac:dyDescent="0.25">
      <c r="A9" s="25" t="s">
        <v>68</v>
      </c>
    </row>
    <row r="10" spans="1:1" ht="60" customHeight="1" x14ac:dyDescent="0.25">
      <c r="A10" s="26" t="s">
        <v>69</v>
      </c>
    </row>
    <row r="11" spans="1:1" ht="6" customHeight="1" x14ac:dyDescent="0.25"/>
    <row r="12" spans="1:1" ht="15.75" customHeight="1" x14ac:dyDescent="0.25">
      <c r="A12" s="25" t="s">
        <v>70</v>
      </c>
    </row>
    <row r="13" spans="1:1" ht="60" customHeight="1" x14ac:dyDescent="0.25">
      <c r="A13" s="26" t="s">
        <v>71</v>
      </c>
    </row>
    <row r="14" spans="1:1" ht="6" customHeight="1" x14ac:dyDescent="0.25"/>
    <row r="15" spans="1:1" ht="15.75" customHeight="1" x14ac:dyDescent="0.25">
      <c r="A15" s="25" t="s">
        <v>72</v>
      </c>
    </row>
    <row r="16" spans="1:1" ht="60" customHeight="1" x14ac:dyDescent="0.25">
      <c r="A16" s="26" t="s">
        <v>73</v>
      </c>
    </row>
    <row r="17" spans="1:1" ht="6" customHeight="1" x14ac:dyDescent="0.25"/>
    <row r="18" spans="1:1" ht="15.75" customHeight="1" x14ac:dyDescent="0.25">
      <c r="A18" s="25" t="s">
        <v>74</v>
      </c>
    </row>
    <row r="19" spans="1:1" ht="60" customHeight="1" x14ac:dyDescent="0.25">
      <c r="A19" s="26" t="s">
        <v>75</v>
      </c>
    </row>
    <row r="20" spans="1:1" ht="6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de Despliegue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2026-07-30T23:19:17Z</dcterms:created>
  <dcterms:modified xsi:type="dcterms:W3CDTF">2026-07-31T12:45:17Z</dcterms:modified>
  <dc:language>en-US</dc:language>
</cp:coreProperties>
</file>