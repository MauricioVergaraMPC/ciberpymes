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Libro MPC/Capitulos/03- Firewall/Templates/"/>
    </mc:Choice>
  </mc:AlternateContent>
  <xr:revisionPtr revIDLastSave="3" documentId="11_84E84B9CBE2DE40C1A713672863117A0FD9A4226" xr6:coauthVersionLast="47" xr6:coauthVersionMax="47" xr10:uidLastSave="{3E1FE4E0-58AB-49D0-8917-10B128FB54A1}"/>
  <bookViews>
    <workbookView xWindow="32805" yWindow="1305" windowWidth="22275" windowHeight="13665" tabRatio="500" xr2:uid="{00000000-000D-0000-FFFF-FFFF00000000}"/>
  </bookViews>
  <sheets>
    <sheet name="Dashboard" sheetId="2" r:id="rId1"/>
    <sheet name="Reglas de Acceso" sheetId="1" r:id="rId2"/>
    <sheet name="Instructivo" sheetId="3" r:id="rId3"/>
  </sheets>
  <definedNames>
    <definedName name="_xlnm._FilterDatabase" localSheetId="1" hidden="1">'Reglas de Acceso'!$A$5:$P$17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6" i="2" l="1"/>
  <c r="E15" i="2"/>
  <c r="E14" i="2"/>
  <c r="E13" i="2"/>
  <c r="E12" i="2"/>
  <c r="E11" i="2"/>
  <c r="G8" i="2"/>
  <c r="D8" i="2"/>
  <c r="A8" i="2"/>
  <c r="G5" i="2"/>
  <c r="D5" i="2"/>
  <c r="A5" i="2"/>
</calcChain>
</file>

<file path=xl/sharedStrings.xml><?xml version="1.0" encoding="utf-8"?>
<sst xmlns="http://schemas.openxmlformats.org/spreadsheetml/2006/main" count="274" uniqueCount="147">
  <si>
    <t>Ciberprotección para PyMES · Capítulo 3 — Firewall</t>
  </si>
  <si>
    <t>Plantilla de Documentación de Reglas de Acceso entre Zonas</t>
  </si>
  <si>
    <t>Documente aquí todas las reglas explícitamente autorizadas. Todo tráfico no listado se considera bloqueado por defecto (deny all). Campos obligatorios: ID, Origen, Destino, Puerto/Protocolo, Acción, Propósito, Responsable, Fecha.</t>
  </si>
  <si>
    <t>ID Regla</t>
  </si>
  <si>
    <t>Estado</t>
  </si>
  <si>
    <t>Zona Origen</t>
  </si>
  <si>
    <t>IP / Rango Origen</t>
  </si>
  <si>
    <t>Zona Destino</t>
  </si>
  <si>
    <t>IP / Rango Destino</t>
  </si>
  <si>
    <t>Protocolo</t>
  </si>
  <si>
    <t>Puerto(s)</t>
  </si>
  <si>
    <t>Dirección</t>
  </si>
  <si>
    <t>Acción</t>
  </si>
  <si>
    <t>Propósito de negocio</t>
  </si>
  <si>
    <t>Servicio / Aplicación</t>
  </si>
  <si>
    <t>Responsable</t>
  </si>
  <si>
    <t>Fecha creación</t>
  </si>
  <si>
    <t>Fecha revisión</t>
  </si>
  <si>
    <t>Notas / Comentarios</t>
  </si>
  <si>
    <t>FW-001</t>
  </si>
  <si>
    <t>Activa</t>
  </si>
  <si>
    <t>LAN</t>
  </si>
  <si>
    <t>172.16.22.0/24</t>
  </si>
  <si>
    <t>WAN (Internet)</t>
  </si>
  <si>
    <t>0.0.0.0/0</t>
  </si>
  <si>
    <t>TCP</t>
  </si>
  <si>
    <t>80, 443</t>
  </si>
  <si>
    <t>Saliente</t>
  </si>
  <si>
    <t>ALLOW</t>
  </si>
  <si>
    <t>Navegación web de usuarios internos</t>
  </si>
  <si>
    <t>HTTP / HTTPS</t>
  </si>
  <si>
    <t>jefe.sistemas</t>
  </si>
  <si>
    <t>2025-01-10</t>
  </si>
  <si>
    <t>2026-01-10</t>
  </si>
  <si>
    <t>Control de categorías habilitado vía proxy</t>
  </si>
  <si>
    <t>FW-002</t>
  </si>
  <si>
    <t>UDP</t>
  </si>
  <si>
    <t>53</t>
  </si>
  <si>
    <t>Resolución DNS hacia servidores externos</t>
  </si>
  <si>
    <t>DNS</t>
  </si>
  <si>
    <t>Solo hacia DNS del firewall; el FW reenvía</t>
  </si>
  <si>
    <t>FW-003</t>
  </si>
  <si>
    <t>DMZ</t>
  </si>
  <si>
    <t>10.10.57.10</t>
  </si>
  <si>
    <t>443</t>
  </si>
  <si>
    <t>Entrante</t>
  </si>
  <si>
    <t>Acceso público al servidor web corporativo</t>
  </si>
  <si>
    <t>HTTPS / Web</t>
  </si>
  <si>
    <t>Certificado SSL vigente hasta 2026-06-01</t>
  </si>
  <si>
    <t>FW-004</t>
  </si>
  <si>
    <t>10.10.57.20</t>
  </si>
  <si>
    <t>25, 587</t>
  </si>
  <si>
    <t>Recepción de correo electrónico entrante</t>
  </si>
  <si>
    <t>SMTP</t>
  </si>
  <si>
    <t>Relay de correo. Filtro antispam habilitado</t>
  </si>
  <si>
    <t>FW-005</t>
  </si>
  <si>
    <t>10.10.57.0/24</t>
  </si>
  <si>
    <t>172.16.22.100</t>
  </si>
  <si>
    <t>5432</t>
  </si>
  <si>
    <t>Servidor web accede a BD en red interna</t>
  </si>
  <si>
    <t>PostgreSQL</t>
  </si>
  <si>
    <t>2025-01-15</t>
  </si>
  <si>
    <t>2026-01-15</t>
  </si>
  <si>
    <t>Solo desde IP del web server hacia IP de BD</t>
  </si>
  <si>
    <t>FW-006</t>
  </si>
  <si>
    <t>MGMT</t>
  </si>
  <si>
    <t>192.168.161.0/28</t>
  </si>
  <si>
    <t>22</t>
  </si>
  <si>
    <t>Administración remota de servidores Linux</t>
  </si>
  <si>
    <t>SSH</t>
  </si>
  <si>
    <t>Solo desde equipos de TI en subred MGMT</t>
  </si>
  <si>
    <t>FW-007</t>
  </si>
  <si>
    <t>22, 443</t>
  </si>
  <si>
    <t>Gestión de servidores en DMZ</t>
  </si>
  <si>
    <t>SSH / HTTPS</t>
  </si>
  <si>
    <t>Acceso solo en horario laboral si es posible</t>
  </si>
  <si>
    <t>FW-008</t>
  </si>
  <si>
    <t>VPN</t>
  </si>
  <si>
    <t>10.200.0.0/24</t>
  </si>
  <si>
    <t>ANY</t>
  </si>
  <si>
    <t>Usuarios remotos autenticados vía VPN</t>
  </si>
  <si>
    <t>VPN Client-to-Server</t>
  </si>
  <si>
    <t>2025-02-01</t>
  </si>
  <si>
    <t>2026-02-01</t>
  </si>
  <si>
    <t>MFA obligatorio. Ver política de acceso remoto</t>
  </si>
  <si>
    <t>FW-009</t>
  </si>
  <si>
    <t>DENY</t>
  </si>
  <si>
    <t>Usuarios internos NO pueden acceder a subred MGMT</t>
  </si>
  <si>
    <t>N/A</t>
  </si>
  <si>
    <t>Regla explícita de bloqueo. No debe modificarse</t>
  </si>
  <si>
    <t>FW-010</t>
  </si>
  <si>
    <t>Bloqueo total de tráfico entrante hacia LAN</t>
  </si>
  <si>
    <t>Regla base. Todo tráfico no listado bloqueado</t>
  </si>
  <si>
    <t>FW-011</t>
  </si>
  <si>
    <t>123</t>
  </si>
  <si>
    <t>Sincronización de hora (NTP) desde equipos internos</t>
  </si>
  <si>
    <t>NTP</t>
  </si>
  <si>
    <t>Solo hacia servidor NTP del firewall; no directo</t>
  </si>
  <si>
    <t>FW-012</t>
  </si>
  <si>
    <t>Revisión</t>
  </si>
  <si>
    <t>10.10.57.30</t>
  </si>
  <si>
    <t>8080</t>
  </si>
  <si>
    <t>Puerto temporal abierto para pruebas de desarrollo</t>
  </si>
  <si>
    <t>HTTP Alt</t>
  </si>
  <si>
    <t>2025-03-01</t>
  </si>
  <si>
    <t>2025-06-01</t>
  </si>
  <si>
    <t>PENDIENTE CIERRE — verificar si sigue siendo necesario</t>
  </si>
  <si>
    <t>Dashboard — Resumen de Reglas de Acceso</t>
  </si>
  <si>
    <t>Total de reglas documentadas</t>
  </si>
  <si>
    <t>Reglas ALLOW</t>
  </si>
  <si>
    <t>Reglas DENY</t>
  </si>
  <si>
    <t>Reglas Activas</t>
  </si>
  <si>
    <t>Reglas en Revisión</t>
  </si>
  <si>
    <t>Reglas Inactivas</t>
  </si>
  <si>
    <t>Reglas por zona de origen</t>
  </si>
  <si>
    <t>WLAN Invitados</t>
  </si>
  <si>
    <t>Principio de denegación por defecto: todo tráfico no listado explícitamente en la hoja 'Reglas de Acceso' debe ser bloqueado. Revise las reglas en estado 'Revisión' con prioridad.</t>
  </si>
  <si>
    <t>Instructivo de uso — Plantilla de Reglas de Acceso</t>
  </si>
  <si>
    <t>CAMPO</t>
  </si>
  <si>
    <t>DESCRIPCIÓN E INSTRUCCIONES DE DILIGENCIAMIENTO</t>
  </si>
  <si>
    <t>Identificador único de la regla. Formato sugerido: FW-NNN (ej. FW-001). No repetir.</t>
  </si>
  <si>
    <t>Estado actual de la regla: Activa (en producción), Inactiva (deshabilitada temporalmente), Revisión (pendiente de verificar si sigue siendo necesaria). Seleccionar del desplegable.</t>
  </si>
  <si>
    <t>Segmento de red desde el cual se origina el tráfico. Seleccionar del desplegable: WAN (Internet), DMZ, LAN, MGMT, WLAN Invitados, VPN, ANY.</t>
  </si>
  <si>
    <t>Dirección IP o rango CIDR de origen. Usar notación exacta: 172.16.22.10 (host único), 172.16.22.0/24 (subred), 0.0.0.0/0 (cualquier origen desde Internet).</t>
  </si>
  <si>
    <t>Segmento de red hacia el cual se dirige el tráfico. Mismos valores que Zona Origen.</t>
  </si>
  <si>
    <t>Dirección IP o rango CIDR de destino. Ser lo más específico posible. Evitar 0.0.0.0/0 como destino en reglas ALLOW.</t>
  </si>
  <si>
    <t>Protocolo de transporte: TCP, UDP, TCP/UDP, ICMP, ESP (VPN IPSec), GRE, ANY. Seleccionar del desplegable.</t>
  </si>
  <si>
    <t>Puerto o rango de puertos afectados por la regla. Ejemplos: 443 (único), 80, 443 (múltiples), 1024-65535 (rango), ANY (todos los puertos).</t>
  </si>
  <si>
    <t>Sentido del tráfico: Entrante (hacia la zona destino desde exterior), Saliente (desde zona origen hacia exterior/otra zona), Bidireccional.</t>
  </si>
  <si>
    <t>Acción que aplica el firewall: ALLOW (permite el tráfico) o DENY (bloquea el tráfico). Las reglas DENY explícitas se usan para documentar bloqueos importantes.</t>
  </si>
  <si>
    <t>Descripción clara del motivo por el que existe esta regla. Debe ser comprensible para alguien que no configuró el firewall. Ejemplo: 'Navegación web de usuarios internos hacia Internet'.</t>
  </si>
  <si>
    <t>Nombre del servicio o aplicación que usa este puerto/protocolo. Ejemplos: HTTPS, SSH, PostgreSQL, SAP ERP, CRM interno.</t>
  </si>
  <si>
    <t>Nombre o usuario del administrador que creó o autorizó la regla.</t>
  </si>
  <si>
    <t>Fecha en que se creó la regla. Formato: YYYY-MM-DD.</t>
  </si>
  <si>
    <t>Próxima fecha programada para revisar si la regla sigue siendo necesaria. Recomendado: revisión anual como mínimo.</t>
  </si>
  <si>
    <t>Información adicional relevante: excepciones, condiciones especiales, fechas de vencimiento, referencias a tickets de soporte, etc.</t>
  </si>
  <si>
    <t>PRINCIPIOS CLAVE</t>
  </si>
  <si>
    <t>Denegación por defecto</t>
  </si>
  <si>
    <t>Todo tráfico no listado explícitamente como ALLOW debe ser bloqueado por el firewall. No crear reglas permisivas genéricas.</t>
  </si>
  <si>
    <t>Mínimo privilegio</t>
  </si>
  <si>
    <t>Cada regla debe autorizar únicamente el origen, destino, protocolo y puerto estrictamente necesarios. Evitar ANY como comodín salvo justificación.</t>
  </si>
  <si>
    <t>Documentación obligatoria</t>
  </si>
  <si>
    <t>Toda regla debe tener Propósito, Responsable y Fecha. Una regla sin documentar no puede auditarse ni mantenerse correctamente.</t>
  </si>
  <si>
    <t>Revisión periódica</t>
  </si>
  <si>
    <t>Revise la hoja Dashboard regularmente. Las reglas en estado 'Revisión' deben ser evaluadas con prioridad para confirmar si se mantienen o eliminan.</t>
  </si>
  <si>
    <t>Reglas DENY explícitas</t>
  </si>
  <si>
    <t>Documente también las reglas de bloqueo explícito más importantes (ej. LAN → MGMT bloqueado). Esto facilita auditorías y evita errores al reorganizar el orden de reglas en el firewall.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</si>
</sst>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24"/>
      <color rgb="FF185FA5"/>
      <name val="Arial"/>
      <family val="2"/>
    </font>
    <font>
      <b/>
      <sz val="24"/>
      <color rgb="FF3B6D11"/>
      <name val="Arial"/>
      <family val="2"/>
    </font>
    <font>
      <b/>
      <sz val="24"/>
      <color rgb="FFA32D2D"/>
      <name val="Arial"/>
      <family val="2"/>
    </font>
    <font>
      <b/>
      <sz val="24"/>
      <color rgb="FFBA7517"/>
      <name val="Arial"/>
      <family val="2"/>
    </font>
    <font>
      <b/>
      <sz val="24"/>
      <color rgb="FFD3D1C7"/>
      <name val="Arial"/>
      <family val="2"/>
    </font>
    <font>
      <sz val="10"/>
      <color rgb="FF000000"/>
      <name val="Arial"/>
      <family val="2"/>
    </font>
    <font>
      <b/>
      <sz val="12"/>
      <color rgb="FF185FA5"/>
      <name val="Arial"/>
      <family val="2"/>
    </font>
    <font>
      <b/>
      <sz val="9"/>
      <color rgb="FF185FA5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85FA5"/>
        <bgColor rgb="FF008080"/>
      </patternFill>
    </fill>
    <fill>
      <patternFill patternType="solid">
        <fgColor rgb="FFBA7517"/>
        <bgColor rgb="FFFF6600"/>
      </patternFill>
    </fill>
    <fill>
      <patternFill patternType="solid">
        <fgColor rgb="FFEAF3FB"/>
        <bgColor rgb="FFEEEEEE"/>
      </patternFill>
    </fill>
    <fill>
      <patternFill patternType="solid">
        <fgColor rgb="FFFFFFFF"/>
        <bgColor rgb="FFEAF3FB"/>
      </patternFill>
    </fill>
    <fill>
      <patternFill patternType="solid">
        <fgColor rgb="FF3B6D11"/>
        <bgColor rgb="FF339966"/>
      </patternFill>
    </fill>
    <fill>
      <patternFill patternType="solid">
        <fgColor rgb="FFA32D2D"/>
        <bgColor rgb="FF993366"/>
      </patternFill>
    </fill>
    <fill>
      <patternFill patternType="solid">
        <fgColor rgb="FFD3D1C7"/>
        <bgColor rgb="FFCCCCFF"/>
      </patternFill>
    </fill>
  </fills>
  <borders count="3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/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sz val="9"/>
        <color rgb="FFA32D2D"/>
        <name val="Arial"/>
        <charset val="1"/>
      </font>
      <fill>
        <patternFill>
          <bgColor rgb="FFF5CACA"/>
        </patternFill>
      </fill>
    </dxf>
    <dxf>
      <font>
        <b/>
        <sz val="9"/>
        <color rgb="FF3B6D11"/>
        <name val="Arial"/>
        <charset val="1"/>
      </font>
      <fill>
        <patternFill>
          <bgColor rgb="FFD6EAC1"/>
        </patternFill>
      </fill>
    </dxf>
    <dxf>
      <font>
        <i/>
        <sz val="9"/>
        <color rgb="FF999999"/>
        <name val="Arial"/>
        <charset val="1"/>
      </font>
      <fill>
        <patternFill>
          <bgColor rgb="FFEEEEEE"/>
        </patternFill>
      </fill>
    </dxf>
    <dxf>
      <font>
        <b/>
        <sz val="9"/>
        <color rgb="FFBA7517"/>
        <name val="Arial"/>
        <charset val="1"/>
      </font>
      <fill>
        <patternFill>
          <bgColor rgb="FFFFF3C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D3D1C7"/>
      <rgbColor rgb="FF808080"/>
      <rgbColor rgb="FF9999FF"/>
      <rgbColor rgb="FF993366"/>
      <rgbColor rgb="FFFFF3CD"/>
      <rgbColor rgb="FFEAF3FB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D6EAC1"/>
      <rgbColor rgb="FFFFFF99"/>
      <rgbColor rgb="FF99CCFF"/>
      <rgbColor rgb="FFFF99CC"/>
      <rgbColor rgb="FFCC99FF"/>
      <rgbColor rgb="FFF5CACA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A32D2D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showGridLines="0" tabSelected="1" zoomScaleNormal="100" workbookViewId="0">
      <selection sqref="A1:H1"/>
    </sheetView>
  </sheetViews>
  <sheetFormatPr baseColWidth="10" defaultColWidth="8.7109375" defaultRowHeight="15" x14ac:dyDescent="0.25"/>
  <cols>
    <col min="1" max="1" width="20" customWidth="1"/>
    <col min="2" max="4" width="8" customWidth="1"/>
    <col min="5" max="5" width="10" customWidth="1"/>
    <col min="6" max="8" width="8" customWidth="1"/>
  </cols>
  <sheetData>
    <row r="1" spans="1:8" x14ac:dyDescent="0.25">
      <c r="A1" s="21" t="s">
        <v>0</v>
      </c>
      <c r="B1" s="21"/>
      <c r="C1" s="21"/>
      <c r="D1" s="21"/>
      <c r="E1" s="21"/>
      <c r="F1" s="21"/>
      <c r="G1" s="21"/>
      <c r="H1" s="21"/>
    </row>
    <row r="2" spans="1:8" ht="16.5" x14ac:dyDescent="0.25">
      <c r="A2" s="22" t="s">
        <v>107</v>
      </c>
      <c r="B2" s="22"/>
      <c r="C2" s="22"/>
      <c r="D2" s="22"/>
      <c r="E2" s="22"/>
      <c r="F2" s="22"/>
      <c r="G2" s="22"/>
      <c r="H2" s="22"/>
    </row>
    <row r="3" spans="1:8" ht="7.5" customHeight="1" x14ac:dyDescent="0.25"/>
    <row r="4" spans="1:8" ht="30" customHeight="1" x14ac:dyDescent="0.25">
      <c r="A4" s="16" t="s">
        <v>108</v>
      </c>
      <c r="B4" s="16"/>
      <c r="D4" s="23" t="s">
        <v>109</v>
      </c>
      <c r="E4" s="23"/>
      <c r="G4" s="24" t="s">
        <v>110</v>
      </c>
      <c r="H4" s="24"/>
    </row>
    <row r="5" spans="1:8" ht="30" customHeight="1" x14ac:dyDescent="0.25">
      <c r="A5" s="13">
        <f>COUNTA('Reglas de Acceso'!A6:A200)</f>
        <v>12</v>
      </c>
      <c r="B5" s="13"/>
      <c r="D5" s="17">
        <f>COUNTIF('Reglas de Acceso'!J6:J200,"ALLOW")</f>
        <v>10</v>
      </c>
      <c r="E5" s="17"/>
      <c r="G5" s="18">
        <f>COUNTIF('Reglas de Acceso'!J6:J200,"DENY")</f>
        <v>2</v>
      </c>
      <c r="H5" s="18"/>
    </row>
    <row r="6" spans="1:8" ht="9.75" customHeight="1" x14ac:dyDescent="0.25"/>
    <row r="7" spans="1:8" ht="30" customHeight="1" x14ac:dyDescent="0.25">
      <c r="A7" s="16" t="s">
        <v>111</v>
      </c>
      <c r="B7" s="16"/>
      <c r="D7" s="19" t="s">
        <v>112</v>
      </c>
      <c r="E7" s="19"/>
      <c r="G7" s="20" t="s">
        <v>113</v>
      </c>
      <c r="H7" s="20"/>
    </row>
    <row r="8" spans="1:8" ht="30" customHeight="1" x14ac:dyDescent="0.25">
      <c r="A8" s="13">
        <f>COUNTIF('Reglas de Acceso'!B6:B200,"Activa")</f>
        <v>11</v>
      </c>
      <c r="B8" s="13"/>
      <c r="D8" s="14">
        <f>COUNTIF('Reglas de Acceso'!B6:B200,"Revisión")</f>
        <v>1</v>
      </c>
      <c r="E8" s="14"/>
      <c r="G8" s="15">
        <f>COUNTIF('Reglas de Acceso'!B6:B200,"Inactiva")</f>
        <v>0</v>
      </c>
      <c r="H8" s="15"/>
    </row>
    <row r="9" spans="1:8" ht="9.75" customHeight="1" x14ac:dyDescent="0.25"/>
    <row r="10" spans="1:8" x14ac:dyDescent="0.25">
      <c r="A10" s="16" t="s">
        <v>114</v>
      </c>
      <c r="B10" s="16"/>
      <c r="C10" s="16"/>
      <c r="D10" s="16"/>
      <c r="E10" s="16"/>
      <c r="F10" s="16"/>
      <c r="G10" s="16"/>
      <c r="H10" s="16"/>
    </row>
    <row r="11" spans="1:8" ht="24" customHeight="1" x14ac:dyDescent="0.25">
      <c r="A11" s="8" t="s">
        <v>23</v>
      </c>
      <c r="B11" s="8"/>
      <c r="C11" s="8"/>
      <c r="D11" s="8"/>
      <c r="E11" s="9">
        <f>COUNTIF('Reglas de Acceso'!C6:C200,A11)</f>
        <v>4</v>
      </c>
      <c r="F11" s="9"/>
      <c r="G11" s="9"/>
      <c r="H11" s="9"/>
    </row>
    <row r="12" spans="1:8" ht="24" customHeight="1" x14ac:dyDescent="0.25">
      <c r="A12" s="10" t="s">
        <v>42</v>
      </c>
      <c r="B12" s="10"/>
      <c r="C12" s="10"/>
      <c r="D12" s="10"/>
      <c r="E12" s="11">
        <f>COUNTIF('Reglas de Acceso'!C6:C200,A12)</f>
        <v>1</v>
      </c>
      <c r="F12" s="11"/>
      <c r="G12" s="11"/>
      <c r="H12" s="11"/>
    </row>
    <row r="13" spans="1:8" ht="24" customHeight="1" x14ac:dyDescent="0.25">
      <c r="A13" s="8" t="s">
        <v>21</v>
      </c>
      <c r="B13" s="8"/>
      <c r="C13" s="8"/>
      <c r="D13" s="8"/>
      <c r="E13" s="9">
        <f>COUNTIF('Reglas de Acceso'!C6:C200,A13)</f>
        <v>4</v>
      </c>
      <c r="F13" s="9"/>
      <c r="G13" s="9"/>
      <c r="H13" s="9"/>
    </row>
    <row r="14" spans="1:8" ht="24" customHeight="1" x14ac:dyDescent="0.25">
      <c r="A14" s="10" t="s">
        <v>65</v>
      </c>
      <c r="B14" s="10"/>
      <c r="C14" s="10"/>
      <c r="D14" s="10"/>
      <c r="E14" s="11">
        <f>COUNTIF('Reglas de Acceso'!C6:C200,A14)</f>
        <v>2</v>
      </c>
      <c r="F14" s="11"/>
      <c r="G14" s="11"/>
      <c r="H14" s="11"/>
    </row>
    <row r="15" spans="1:8" ht="24" customHeight="1" x14ac:dyDescent="0.25">
      <c r="A15" s="8" t="s">
        <v>115</v>
      </c>
      <c r="B15" s="8"/>
      <c r="C15" s="8"/>
      <c r="D15" s="8"/>
      <c r="E15" s="9">
        <f>COUNTIF('Reglas de Acceso'!C6:C200,A15)</f>
        <v>0</v>
      </c>
      <c r="F15" s="9"/>
      <c r="G15" s="9"/>
      <c r="H15" s="9"/>
    </row>
    <row r="16" spans="1:8" ht="24" customHeight="1" x14ac:dyDescent="0.25">
      <c r="A16" s="10" t="s">
        <v>77</v>
      </c>
      <c r="B16" s="10"/>
      <c r="C16" s="10"/>
      <c r="D16" s="10"/>
      <c r="E16" s="11">
        <f>COUNTIF('Reglas de Acceso'!C6:C200,A16)</f>
        <v>1</v>
      </c>
      <c r="F16" s="11"/>
      <c r="G16" s="11"/>
      <c r="H16" s="11"/>
    </row>
    <row r="19" spans="1:8" ht="36" customHeight="1" x14ac:dyDescent="0.25">
      <c r="A19" s="12" t="s">
        <v>116</v>
      </c>
      <c r="B19" s="12"/>
      <c r="C19" s="12"/>
      <c r="D19" s="12"/>
      <c r="E19" s="12"/>
      <c r="F19" s="12"/>
      <c r="G19" s="12"/>
      <c r="H19" s="12"/>
    </row>
  </sheetData>
  <mergeCells count="28">
    <mergeCell ref="A1:H1"/>
    <mergeCell ref="A2:H2"/>
    <mergeCell ref="A4:B4"/>
    <mergeCell ref="D4:E4"/>
    <mergeCell ref="G4:H4"/>
    <mergeCell ref="A5:B5"/>
    <mergeCell ref="D5:E5"/>
    <mergeCell ref="G5:H5"/>
    <mergeCell ref="A7:B7"/>
    <mergeCell ref="D7:E7"/>
    <mergeCell ref="G7:H7"/>
    <mergeCell ref="A8:B8"/>
    <mergeCell ref="D8:E8"/>
    <mergeCell ref="G8:H8"/>
    <mergeCell ref="A10:H10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16:D16"/>
    <mergeCell ref="E16:H16"/>
    <mergeCell ref="A19:H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showGridLines="0" zoomScaleNormal="100" workbookViewId="0">
      <pane ySplit="5" topLeftCell="A6" activePane="bottomLeft" state="frozen"/>
      <selection pane="bottomLeft" sqref="A1:P1"/>
    </sheetView>
  </sheetViews>
  <sheetFormatPr baseColWidth="10" defaultColWidth="8.7109375" defaultRowHeight="15" x14ac:dyDescent="0.25"/>
  <cols>
    <col min="1" max="1" width="9" customWidth="1"/>
    <col min="2" max="2" width="11" customWidth="1"/>
    <col min="3" max="3" width="14" customWidth="1"/>
    <col min="4" max="4" width="18" customWidth="1"/>
    <col min="5" max="5" width="14" customWidth="1"/>
    <col min="6" max="6" width="18" customWidth="1"/>
    <col min="7" max="7" width="11" customWidth="1"/>
    <col min="8" max="8" width="13" customWidth="1"/>
    <col min="9" max="9" width="11" customWidth="1"/>
    <col min="10" max="10" width="10" customWidth="1"/>
    <col min="11" max="11" width="28" customWidth="1"/>
    <col min="12" max="12" width="18" customWidth="1"/>
    <col min="13" max="13" width="15" customWidth="1"/>
    <col min="14" max="15" width="14" customWidth="1"/>
    <col min="16" max="16" width="30" customWidth="1"/>
  </cols>
  <sheetData>
    <row r="1" spans="1:16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ht="16.5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ht="27.75" customHeight="1" x14ac:dyDescent="0.25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ht="6" customHeight="1" x14ac:dyDescent="0.25"/>
    <row r="5" spans="1:16" ht="36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</row>
    <row r="6" spans="1:16" ht="31.5" customHeight="1" x14ac:dyDescent="0.25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26</v>
      </c>
      <c r="I6" s="2" t="s">
        <v>27</v>
      </c>
      <c r="J6" s="2" t="s">
        <v>28</v>
      </c>
      <c r="K6" s="2" t="s">
        <v>29</v>
      </c>
      <c r="L6" s="2" t="s">
        <v>30</v>
      </c>
      <c r="M6" s="2" t="s">
        <v>31</v>
      </c>
      <c r="N6" s="2" t="s">
        <v>32</v>
      </c>
      <c r="O6" s="2" t="s">
        <v>33</v>
      </c>
      <c r="P6" s="2" t="s">
        <v>34</v>
      </c>
    </row>
    <row r="7" spans="1:16" ht="31.5" customHeight="1" x14ac:dyDescent="0.25">
      <c r="A7" s="3" t="s">
        <v>35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36</v>
      </c>
      <c r="H7" s="3" t="s">
        <v>37</v>
      </c>
      <c r="I7" s="3" t="s">
        <v>27</v>
      </c>
      <c r="J7" s="3" t="s">
        <v>28</v>
      </c>
      <c r="K7" s="3" t="s">
        <v>38</v>
      </c>
      <c r="L7" s="3" t="s">
        <v>39</v>
      </c>
      <c r="M7" s="3" t="s">
        <v>31</v>
      </c>
      <c r="N7" s="3" t="s">
        <v>32</v>
      </c>
      <c r="O7" s="3" t="s">
        <v>33</v>
      </c>
      <c r="P7" s="3" t="s">
        <v>40</v>
      </c>
    </row>
    <row r="8" spans="1:16" ht="31.5" customHeight="1" x14ac:dyDescent="0.25">
      <c r="A8" s="2" t="s">
        <v>41</v>
      </c>
      <c r="B8" s="2" t="s">
        <v>20</v>
      </c>
      <c r="C8" s="2" t="s">
        <v>23</v>
      </c>
      <c r="D8" s="2" t="s">
        <v>24</v>
      </c>
      <c r="E8" s="2" t="s">
        <v>42</v>
      </c>
      <c r="F8" s="2" t="s">
        <v>43</v>
      </c>
      <c r="G8" s="2" t="s">
        <v>25</v>
      </c>
      <c r="H8" s="2" t="s">
        <v>44</v>
      </c>
      <c r="I8" s="2" t="s">
        <v>45</v>
      </c>
      <c r="J8" s="2" t="s">
        <v>28</v>
      </c>
      <c r="K8" s="2" t="s">
        <v>46</v>
      </c>
      <c r="L8" s="2" t="s">
        <v>47</v>
      </c>
      <c r="M8" s="2" t="s">
        <v>31</v>
      </c>
      <c r="N8" s="2" t="s">
        <v>32</v>
      </c>
      <c r="O8" s="2" t="s">
        <v>33</v>
      </c>
      <c r="P8" s="2" t="s">
        <v>48</v>
      </c>
    </row>
    <row r="9" spans="1:16" ht="31.5" customHeight="1" x14ac:dyDescent="0.25">
      <c r="A9" s="3" t="s">
        <v>49</v>
      </c>
      <c r="B9" s="3" t="s">
        <v>20</v>
      </c>
      <c r="C9" s="3" t="s">
        <v>23</v>
      </c>
      <c r="D9" s="3" t="s">
        <v>24</v>
      </c>
      <c r="E9" s="3" t="s">
        <v>42</v>
      </c>
      <c r="F9" s="3" t="s">
        <v>50</v>
      </c>
      <c r="G9" s="3" t="s">
        <v>25</v>
      </c>
      <c r="H9" s="3" t="s">
        <v>51</v>
      </c>
      <c r="I9" s="3" t="s">
        <v>45</v>
      </c>
      <c r="J9" s="3" t="s">
        <v>28</v>
      </c>
      <c r="K9" s="3" t="s">
        <v>52</v>
      </c>
      <c r="L9" s="3" t="s">
        <v>53</v>
      </c>
      <c r="M9" s="3" t="s">
        <v>31</v>
      </c>
      <c r="N9" s="3" t="s">
        <v>32</v>
      </c>
      <c r="O9" s="3" t="s">
        <v>33</v>
      </c>
      <c r="P9" s="3" t="s">
        <v>54</v>
      </c>
    </row>
    <row r="10" spans="1:16" ht="31.5" customHeight="1" x14ac:dyDescent="0.25">
      <c r="A10" s="2" t="s">
        <v>55</v>
      </c>
      <c r="B10" s="2" t="s">
        <v>20</v>
      </c>
      <c r="C10" s="2" t="s">
        <v>42</v>
      </c>
      <c r="D10" s="2" t="s">
        <v>56</v>
      </c>
      <c r="E10" s="2" t="s">
        <v>21</v>
      </c>
      <c r="F10" s="2" t="s">
        <v>57</v>
      </c>
      <c r="G10" s="2" t="s">
        <v>25</v>
      </c>
      <c r="H10" s="2" t="s">
        <v>58</v>
      </c>
      <c r="I10" s="2" t="s">
        <v>27</v>
      </c>
      <c r="J10" s="2" t="s">
        <v>28</v>
      </c>
      <c r="K10" s="2" t="s">
        <v>59</v>
      </c>
      <c r="L10" s="2" t="s">
        <v>60</v>
      </c>
      <c r="M10" s="2" t="s">
        <v>31</v>
      </c>
      <c r="N10" s="2" t="s">
        <v>61</v>
      </c>
      <c r="O10" s="2" t="s">
        <v>62</v>
      </c>
      <c r="P10" s="2" t="s">
        <v>63</v>
      </c>
    </row>
    <row r="11" spans="1:16" ht="31.5" customHeight="1" x14ac:dyDescent="0.25">
      <c r="A11" s="3" t="s">
        <v>64</v>
      </c>
      <c r="B11" s="3" t="s">
        <v>20</v>
      </c>
      <c r="C11" s="3" t="s">
        <v>65</v>
      </c>
      <c r="D11" s="3" t="s">
        <v>66</v>
      </c>
      <c r="E11" s="3" t="s">
        <v>21</v>
      </c>
      <c r="F11" s="3" t="s">
        <v>22</v>
      </c>
      <c r="G11" s="3" t="s">
        <v>25</v>
      </c>
      <c r="H11" s="3" t="s">
        <v>67</v>
      </c>
      <c r="I11" s="3" t="s">
        <v>27</v>
      </c>
      <c r="J11" s="3" t="s">
        <v>28</v>
      </c>
      <c r="K11" s="3" t="s">
        <v>68</v>
      </c>
      <c r="L11" s="3" t="s">
        <v>69</v>
      </c>
      <c r="M11" s="3" t="s">
        <v>31</v>
      </c>
      <c r="N11" s="3" t="s">
        <v>32</v>
      </c>
      <c r="O11" s="3" t="s">
        <v>33</v>
      </c>
      <c r="P11" s="3" t="s">
        <v>70</v>
      </c>
    </row>
    <row r="12" spans="1:16" ht="31.5" customHeight="1" x14ac:dyDescent="0.25">
      <c r="A12" s="2" t="s">
        <v>71</v>
      </c>
      <c r="B12" s="2" t="s">
        <v>20</v>
      </c>
      <c r="C12" s="2" t="s">
        <v>65</v>
      </c>
      <c r="D12" s="2" t="s">
        <v>66</v>
      </c>
      <c r="E12" s="2" t="s">
        <v>42</v>
      </c>
      <c r="F12" s="2" t="s">
        <v>56</v>
      </c>
      <c r="G12" s="2" t="s">
        <v>25</v>
      </c>
      <c r="H12" s="2" t="s">
        <v>72</v>
      </c>
      <c r="I12" s="2" t="s">
        <v>27</v>
      </c>
      <c r="J12" s="2" t="s">
        <v>28</v>
      </c>
      <c r="K12" s="2" t="s">
        <v>73</v>
      </c>
      <c r="L12" s="2" t="s">
        <v>74</v>
      </c>
      <c r="M12" s="2" t="s">
        <v>31</v>
      </c>
      <c r="N12" s="2" t="s">
        <v>32</v>
      </c>
      <c r="O12" s="2" t="s">
        <v>33</v>
      </c>
      <c r="P12" s="2" t="s">
        <v>75</v>
      </c>
    </row>
    <row r="13" spans="1:16" ht="31.5" customHeight="1" x14ac:dyDescent="0.25">
      <c r="A13" s="3" t="s">
        <v>76</v>
      </c>
      <c r="B13" s="3" t="s">
        <v>20</v>
      </c>
      <c r="C13" s="3" t="s">
        <v>77</v>
      </c>
      <c r="D13" s="3" t="s">
        <v>78</v>
      </c>
      <c r="E13" s="3" t="s">
        <v>21</v>
      </c>
      <c r="F13" s="3" t="s">
        <v>22</v>
      </c>
      <c r="G13" s="3" t="s">
        <v>79</v>
      </c>
      <c r="H13" s="3" t="s">
        <v>79</v>
      </c>
      <c r="I13" s="3" t="s">
        <v>27</v>
      </c>
      <c r="J13" s="3" t="s">
        <v>28</v>
      </c>
      <c r="K13" s="3" t="s">
        <v>80</v>
      </c>
      <c r="L13" s="3" t="s">
        <v>81</v>
      </c>
      <c r="M13" s="3" t="s">
        <v>31</v>
      </c>
      <c r="N13" s="3" t="s">
        <v>82</v>
      </c>
      <c r="O13" s="3" t="s">
        <v>83</v>
      </c>
      <c r="P13" s="3" t="s">
        <v>84</v>
      </c>
    </row>
    <row r="14" spans="1:16" ht="31.5" customHeight="1" x14ac:dyDescent="0.25">
      <c r="A14" s="2" t="s">
        <v>85</v>
      </c>
      <c r="B14" s="2" t="s">
        <v>20</v>
      </c>
      <c r="C14" s="2" t="s">
        <v>21</v>
      </c>
      <c r="D14" s="2" t="s">
        <v>22</v>
      </c>
      <c r="E14" s="2" t="s">
        <v>65</v>
      </c>
      <c r="F14" s="2" t="s">
        <v>66</v>
      </c>
      <c r="G14" s="2" t="s">
        <v>79</v>
      </c>
      <c r="H14" s="2" t="s">
        <v>79</v>
      </c>
      <c r="I14" s="2" t="s">
        <v>27</v>
      </c>
      <c r="J14" s="2" t="s">
        <v>86</v>
      </c>
      <c r="K14" s="2" t="s">
        <v>87</v>
      </c>
      <c r="L14" s="2" t="s">
        <v>88</v>
      </c>
      <c r="M14" s="2" t="s">
        <v>31</v>
      </c>
      <c r="N14" s="2" t="s">
        <v>32</v>
      </c>
      <c r="O14" s="2" t="s">
        <v>33</v>
      </c>
      <c r="P14" s="2" t="s">
        <v>89</v>
      </c>
    </row>
    <row r="15" spans="1:16" ht="31.5" customHeight="1" x14ac:dyDescent="0.25">
      <c r="A15" s="3" t="s">
        <v>90</v>
      </c>
      <c r="B15" s="3" t="s">
        <v>20</v>
      </c>
      <c r="C15" s="3" t="s">
        <v>23</v>
      </c>
      <c r="D15" s="3" t="s">
        <v>24</v>
      </c>
      <c r="E15" s="3" t="s">
        <v>21</v>
      </c>
      <c r="F15" s="3" t="s">
        <v>22</v>
      </c>
      <c r="G15" s="3" t="s">
        <v>79</v>
      </c>
      <c r="H15" s="3" t="s">
        <v>79</v>
      </c>
      <c r="I15" s="3" t="s">
        <v>45</v>
      </c>
      <c r="J15" s="3" t="s">
        <v>86</v>
      </c>
      <c r="K15" s="3" t="s">
        <v>91</v>
      </c>
      <c r="L15" s="3" t="s">
        <v>88</v>
      </c>
      <c r="M15" s="3" t="s">
        <v>31</v>
      </c>
      <c r="N15" s="3" t="s">
        <v>32</v>
      </c>
      <c r="O15" s="3" t="s">
        <v>33</v>
      </c>
      <c r="P15" s="3" t="s">
        <v>92</v>
      </c>
    </row>
    <row r="16" spans="1:16" ht="31.5" customHeight="1" x14ac:dyDescent="0.25">
      <c r="A16" s="2" t="s">
        <v>93</v>
      </c>
      <c r="B16" s="2" t="s">
        <v>20</v>
      </c>
      <c r="C16" s="2" t="s">
        <v>21</v>
      </c>
      <c r="D16" s="2" t="s">
        <v>22</v>
      </c>
      <c r="E16" s="2" t="s">
        <v>23</v>
      </c>
      <c r="F16" s="2" t="s">
        <v>24</v>
      </c>
      <c r="G16" s="2" t="s">
        <v>25</v>
      </c>
      <c r="H16" s="2" t="s">
        <v>94</v>
      </c>
      <c r="I16" s="2" t="s">
        <v>27</v>
      </c>
      <c r="J16" s="2" t="s">
        <v>28</v>
      </c>
      <c r="K16" s="2" t="s">
        <v>95</v>
      </c>
      <c r="L16" s="2" t="s">
        <v>96</v>
      </c>
      <c r="M16" s="2" t="s">
        <v>31</v>
      </c>
      <c r="N16" s="2" t="s">
        <v>32</v>
      </c>
      <c r="O16" s="2" t="s">
        <v>33</v>
      </c>
      <c r="P16" s="2" t="s">
        <v>97</v>
      </c>
    </row>
    <row r="17" spans="1:16" ht="31.5" customHeight="1" x14ac:dyDescent="0.25">
      <c r="A17" s="3" t="s">
        <v>98</v>
      </c>
      <c r="B17" s="3" t="s">
        <v>99</v>
      </c>
      <c r="C17" s="3" t="s">
        <v>23</v>
      </c>
      <c r="D17" s="3" t="s">
        <v>24</v>
      </c>
      <c r="E17" s="3" t="s">
        <v>42</v>
      </c>
      <c r="F17" s="3" t="s">
        <v>100</v>
      </c>
      <c r="G17" s="3" t="s">
        <v>25</v>
      </c>
      <c r="H17" s="3" t="s">
        <v>101</v>
      </c>
      <c r="I17" s="3" t="s">
        <v>45</v>
      </c>
      <c r="J17" s="3" t="s">
        <v>28</v>
      </c>
      <c r="K17" s="3" t="s">
        <v>102</v>
      </c>
      <c r="L17" s="3" t="s">
        <v>103</v>
      </c>
      <c r="M17" s="3" t="s">
        <v>31</v>
      </c>
      <c r="N17" s="3" t="s">
        <v>104</v>
      </c>
      <c r="O17" s="3" t="s">
        <v>105</v>
      </c>
      <c r="P17" s="3" t="s">
        <v>106</v>
      </c>
    </row>
  </sheetData>
  <autoFilter ref="A5:P17" xr:uid="{00000000-0009-0000-0000-000000000000}"/>
  <mergeCells count="3">
    <mergeCell ref="A1:P1"/>
    <mergeCell ref="A2:P2"/>
    <mergeCell ref="A3:P3"/>
  </mergeCells>
  <conditionalFormatting sqref="B6:B17">
    <cfRule type="cellIs" dxfId="3" priority="4" operator="equal">
      <formula>"Revisión"</formula>
    </cfRule>
    <cfRule type="cellIs" dxfId="2" priority="5" operator="equal">
      <formula>"Inactiva"</formula>
    </cfRule>
  </conditionalFormatting>
  <conditionalFormatting sqref="J6:J17">
    <cfRule type="cellIs" dxfId="1" priority="2" operator="equal">
      <formula>"ALLOW"</formula>
    </cfRule>
    <cfRule type="cellIs" dxfId="0" priority="3" operator="equal">
      <formula>"DENY"</formula>
    </cfRule>
  </conditionalFormatting>
  <dataValidations count="5">
    <dataValidation type="list" showErrorMessage="1" errorTitle="Valor inválido" error="Seleccione: Activa, Inactiva o Revisión" sqref="B6:B200" xr:uid="{00000000-0002-0000-0000-000000000000}">
      <formula1>"Activa,Inactiva,Revisión"</formula1>
      <formula2>0</formula2>
    </dataValidation>
    <dataValidation type="list" showErrorMessage="1" errorTitle="Zona inválida" error="Seleccione una zona de la lista" sqref="C6:C200 E6:E200" xr:uid="{00000000-0002-0000-0000-000001000000}">
      <formula1>"WAN (Internet),DMZ,LAN,MGMT,WLAN Invitados,VPN,ANY"</formula1>
      <formula2>0</formula2>
    </dataValidation>
    <dataValidation type="list" showErrorMessage="1" errorTitle="Protocolo inválido" error="Seleccione un protocolo de la lista" sqref="G6:G200" xr:uid="{00000000-0002-0000-0000-000002000000}">
      <formula1>"TCP,UDP,TCP/UDP,ICMP,ANY,ESP,GRE"</formula1>
      <formula2>0</formula2>
    </dataValidation>
    <dataValidation type="list" showErrorMessage="1" errorTitle="Dirección inválida" error="Seleccione: Entrante, Saliente o Bidireccional" sqref="I6:I200" xr:uid="{00000000-0002-0000-0000-000003000000}">
      <formula1>"Entrante,Saliente,Bidireccional"</formula1>
      <formula2>0</formula2>
    </dataValidation>
    <dataValidation type="list" showErrorMessage="1" errorTitle="Acción inválida" error="Seleccione: ALLOW o DENY" sqref="J6:J200" xr:uid="{00000000-0002-0000-0000-000004000000}">
      <formula1>"ALLOW,DENY"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showGridLines="0" zoomScaleNormal="100" workbookViewId="0"/>
  </sheetViews>
  <sheetFormatPr baseColWidth="10" defaultColWidth="8.7109375" defaultRowHeight="15" x14ac:dyDescent="0.25"/>
  <cols>
    <col min="1" max="1" width="22" customWidth="1"/>
    <col min="2" max="2" width="70" customWidth="1"/>
  </cols>
  <sheetData>
    <row r="1" spans="1:2" x14ac:dyDescent="0.25">
      <c r="A1" s="21" t="s">
        <v>0</v>
      </c>
      <c r="B1" s="21"/>
    </row>
    <row r="2" spans="1:2" ht="16.5" x14ac:dyDescent="0.25">
      <c r="A2" s="22" t="s">
        <v>117</v>
      </c>
      <c r="B2" s="22"/>
    </row>
    <row r="4" spans="1:2" ht="19.5" customHeight="1" x14ac:dyDescent="0.25">
      <c r="A4" s="4" t="s">
        <v>118</v>
      </c>
      <c r="B4" s="5" t="s">
        <v>119</v>
      </c>
    </row>
    <row r="5" spans="1:2" ht="27.75" customHeight="1" x14ac:dyDescent="0.25">
      <c r="A5" s="6" t="s">
        <v>3</v>
      </c>
      <c r="B5" s="3" t="s">
        <v>120</v>
      </c>
    </row>
    <row r="6" spans="1:2" ht="27.75" customHeight="1" x14ac:dyDescent="0.25">
      <c r="A6" s="7" t="s">
        <v>4</v>
      </c>
      <c r="B6" s="2" t="s">
        <v>121</v>
      </c>
    </row>
    <row r="7" spans="1:2" ht="27.75" customHeight="1" x14ac:dyDescent="0.25">
      <c r="A7" s="6" t="s">
        <v>5</v>
      </c>
      <c r="B7" s="3" t="s">
        <v>122</v>
      </c>
    </row>
    <row r="8" spans="1:2" ht="27.75" customHeight="1" x14ac:dyDescent="0.25">
      <c r="A8" s="7" t="s">
        <v>6</v>
      </c>
      <c r="B8" s="2" t="s">
        <v>123</v>
      </c>
    </row>
    <row r="9" spans="1:2" ht="27.75" customHeight="1" x14ac:dyDescent="0.25">
      <c r="A9" s="6" t="s">
        <v>7</v>
      </c>
      <c r="B9" s="3" t="s">
        <v>124</v>
      </c>
    </row>
    <row r="10" spans="1:2" ht="27.75" customHeight="1" x14ac:dyDescent="0.25">
      <c r="A10" s="7" t="s">
        <v>8</v>
      </c>
      <c r="B10" s="2" t="s">
        <v>125</v>
      </c>
    </row>
    <row r="11" spans="1:2" ht="27.75" customHeight="1" x14ac:dyDescent="0.25">
      <c r="A11" s="6" t="s">
        <v>9</v>
      </c>
      <c r="B11" s="3" t="s">
        <v>126</v>
      </c>
    </row>
    <row r="12" spans="1:2" ht="27.75" customHeight="1" x14ac:dyDescent="0.25">
      <c r="A12" s="7" t="s">
        <v>10</v>
      </c>
      <c r="B12" s="2" t="s">
        <v>127</v>
      </c>
    </row>
    <row r="13" spans="1:2" ht="27.75" customHeight="1" x14ac:dyDescent="0.25">
      <c r="A13" s="6" t="s">
        <v>11</v>
      </c>
      <c r="B13" s="3" t="s">
        <v>128</v>
      </c>
    </row>
    <row r="14" spans="1:2" ht="27.75" customHeight="1" x14ac:dyDescent="0.25">
      <c r="A14" s="7" t="s">
        <v>12</v>
      </c>
      <c r="B14" s="2" t="s">
        <v>129</v>
      </c>
    </row>
    <row r="15" spans="1:2" ht="27.75" customHeight="1" x14ac:dyDescent="0.25">
      <c r="A15" s="6" t="s">
        <v>13</v>
      </c>
      <c r="B15" s="3" t="s">
        <v>130</v>
      </c>
    </row>
    <row r="16" spans="1:2" ht="27.75" customHeight="1" x14ac:dyDescent="0.25">
      <c r="A16" s="7" t="s">
        <v>14</v>
      </c>
      <c r="B16" s="2" t="s">
        <v>131</v>
      </c>
    </row>
    <row r="17" spans="1:2" ht="27.75" customHeight="1" x14ac:dyDescent="0.25">
      <c r="A17" s="6" t="s">
        <v>15</v>
      </c>
      <c r="B17" s="3" t="s">
        <v>132</v>
      </c>
    </row>
    <row r="18" spans="1:2" ht="27.75" customHeight="1" x14ac:dyDescent="0.25">
      <c r="A18" s="7" t="s">
        <v>16</v>
      </c>
      <c r="B18" s="2" t="s">
        <v>133</v>
      </c>
    </row>
    <row r="19" spans="1:2" ht="27.75" customHeight="1" x14ac:dyDescent="0.25">
      <c r="A19" s="6" t="s">
        <v>17</v>
      </c>
      <c r="B19" s="3" t="s">
        <v>134</v>
      </c>
    </row>
    <row r="20" spans="1:2" ht="27.75" customHeight="1" x14ac:dyDescent="0.25">
      <c r="A20" s="7" t="s">
        <v>18</v>
      </c>
      <c r="B20" s="2" t="s">
        <v>135</v>
      </c>
    </row>
    <row r="21" spans="1:2" ht="7.5" customHeight="1" x14ac:dyDescent="0.25"/>
    <row r="22" spans="1:2" ht="19.5" customHeight="1" x14ac:dyDescent="0.25">
      <c r="A22" s="4" t="s">
        <v>136</v>
      </c>
      <c r="B22" s="5"/>
    </row>
    <row r="23" spans="1:2" ht="27.75" customHeight="1" x14ac:dyDescent="0.25">
      <c r="A23" s="6" t="s">
        <v>137</v>
      </c>
      <c r="B23" s="3" t="s">
        <v>138</v>
      </c>
    </row>
    <row r="24" spans="1:2" ht="27.75" customHeight="1" x14ac:dyDescent="0.25">
      <c r="A24" s="7" t="s">
        <v>139</v>
      </c>
      <c r="B24" s="2" t="s">
        <v>140</v>
      </c>
    </row>
    <row r="25" spans="1:2" ht="27.75" customHeight="1" x14ac:dyDescent="0.25">
      <c r="A25" s="6" t="s">
        <v>141</v>
      </c>
      <c r="B25" s="3" t="s">
        <v>142</v>
      </c>
    </row>
    <row r="26" spans="1:2" ht="27.75" customHeight="1" x14ac:dyDescent="0.25">
      <c r="A26" s="7" t="s">
        <v>143</v>
      </c>
      <c r="B26" s="2" t="s">
        <v>144</v>
      </c>
    </row>
    <row r="27" spans="1:2" ht="27.75" customHeight="1" x14ac:dyDescent="0.25">
      <c r="A27" s="6" t="s">
        <v>145</v>
      </c>
      <c r="B27" s="3" t="s">
        <v>146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Dashboard</vt:lpstr>
      <vt:lpstr>Reglas de Acceso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2026-05-04T18:48:45Z</dcterms:created>
  <dcterms:modified xsi:type="dcterms:W3CDTF">2026-07-29T22:42:54Z</dcterms:modified>
  <dc:language>en-US</dc:language>
</cp:coreProperties>
</file>