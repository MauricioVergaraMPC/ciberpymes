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2" documentId="11_11D5F771B8405B9DC063C7BFDDE32245FD3C1636" xr6:coauthVersionLast="47" xr6:coauthVersionMax="47" xr10:uidLastSave="{E036D786-2B8E-4163-BB85-B587ADFBDB3A}"/>
  <bookViews>
    <workbookView xWindow="35310" yWindow="2895" windowWidth="21600" windowHeight="11505" tabRatio="500" xr2:uid="{00000000-000D-0000-FFFF-FFFF00000000}"/>
  </bookViews>
  <sheets>
    <sheet name="Inventario" sheetId="1" r:id="rId1"/>
    <sheet name="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2" l="1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D16" i="2" s="1"/>
  <c r="C4" i="2"/>
  <c r="C16" i="2" s="1"/>
  <c r="B4" i="2"/>
  <c r="B16" i="2" s="1"/>
</calcChain>
</file>

<file path=xl/sharedStrings.xml><?xml version="1.0" encoding="utf-8"?>
<sst xmlns="http://schemas.openxmlformats.org/spreadsheetml/2006/main" count="36" uniqueCount="34">
  <si>
    <t>CIBERPROTECCIÓN PARA PyMES  ·  Capítulo 10 — Dispositivos Periféricos</t>
  </si>
  <si>
    <t>Inventario de Dispositivos Periféricos</t>
  </si>
  <si>
    <t>Tipo de dispositivo</t>
  </si>
  <si>
    <t>Marca</t>
  </si>
  <si>
    <t>Modelo</t>
  </si>
  <si>
    <t>Número de serie</t>
  </si>
  <si>
    <t>Prioridad</t>
  </si>
  <si>
    <t>Dirección IP</t>
  </si>
  <si>
    <t>Segmento de red</t>
  </si>
  <si>
    <t>Versión de firmware</t>
  </si>
  <si>
    <t>URL firmware</t>
  </si>
  <si>
    <t>Responsable técnico</t>
  </si>
  <si>
    <t>Fecha de compra</t>
  </si>
  <si>
    <t>Fecha expiración garantía</t>
  </si>
  <si>
    <t>Última revisión Línea Base</t>
  </si>
  <si>
    <t>Estado</t>
  </si>
  <si>
    <t>Dashboard — Estado del Inventario</t>
  </si>
  <si>
    <t>Total</t>
  </si>
  <si>
    <t>En producción</t>
  </si>
  <si>
    <t>Retirado</t>
  </si>
  <si>
    <t>Router</t>
  </si>
  <si>
    <t>Switch</t>
  </si>
  <si>
    <t>Access Point</t>
  </si>
  <si>
    <t>Telefonía IP</t>
  </si>
  <si>
    <t>Impresora</t>
  </si>
  <si>
    <t>Escáner de red</t>
  </si>
  <si>
    <t>Cámara de video vigilancia</t>
  </si>
  <si>
    <t>Televisor inteligente</t>
  </si>
  <si>
    <t>Control de acceso</t>
  </si>
  <si>
    <t>Acondicionador de aire</t>
  </si>
  <si>
    <t>UPS</t>
  </si>
  <si>
    <t>Otro</t>
  </si>
  <si>
    <t>TOTAL GENERAL</t>
  </si>
  <si>
    <t>Nota: registre cada dispositivo en la hoja Inventario. Este dashboard se actualiza automáticamente.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</si>
</sst>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i/>
      <sz val="9"/>
      <color rgb="FF555555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F3F6E"/>
        <bgColor rgb="FF333399"/>
      </patternFill>
    </fill>
    <fill>
      <patternFill patternType="solid">
        <fgColor rgb="FF185FA5"/>
        <bgColor rgb="FF0F3F6E"/>
      </patternFill>
    </fill>
    <fill>
      <patternFill patternType="solid">
        <fgColor rgb="FFFFFFFF"/>
        <bgColor rgb="FFF5F5F2"/>
      </patternFill>
    </fill>
    <fill>
      <patternFill patternType="solid">
        <fgColor rgb="FFF5F5F2"/>
        <bgColor rgb="FFFFFFFF"/>
      </patternFill>
    </fill>
    <fill>
      <patternFill patternType="solid">
        <fgColor rgb="FFB5D4F4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6" fillId="0" borderId="0" xfId="0" applyFont="1"/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3" fillId="2" borderId="0" xfId="0" applyFont="1" applyFill="1"/>
    <xf numFmtId="0" fontId="5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2"/>
      <rgbColor rgb="FFCCFFFF"/>
      <rgbColor rgb="FF660066"/>
      <rgbColor rgb="FFFF8080"/>
      <rgbColor rgb="FF185FA5"/>
      <rgbColor rgb="FFB5D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3F6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3"/>
  <sheetViews>
    <sheetView tabSelected="1" zoomScaleNormal="100" workbookViewId="0">
      <pane ySplit="3" topLeftCell="A4" activePane="bottomLeft" state="frozen"/>
      <selection pane="bottomLeft" activeCell="D8" sqref="D8"/>
    </sheetView>
  </sheetViews>
  <sheetFormatPr baseColWidth="10" defaultColWidth="8.7109375" defaultRowHeight="15" x14ac:dyDescent="0.25"/>
  <cols>
    <col min="1" max="1" width="20" customWidth="1"/>
    <col min="2" max="2" width="16" customWidth="1"/>
    <col min="3" max="4" width="18" customWidth="1"/>
    <col min="5" max="5" width="12" customWidth="1"/>
    <col min="6" max="6" width="16" customWidth="1"/>
    <col min="7" max="8" width="18" customWidth="1"/>
    <col min="9" max="9" width="30" customWidth="1"/>
    <col min="10" max="10" width="20" customWidth="1"/>
    <col min="11" max="11" width="16" customWidth="1"/>
    <col min="12" max="13" width="20" customWidth="1"/>
    <col min="14" max="14" width="16" customWidth="1"/>
  </cols>
  <sheetData>
    <row r="1" spans="1:14" ht="27.7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21.75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30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spans="1:14" ht="19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19.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ht="19.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9.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ht="19.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19.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ht="19.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19.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ht="19.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ht="19.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ht="19.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ht="19.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19.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19.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9.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9.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19.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ht="19.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ht="19.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ht="19.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19.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ht="19.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ht="19.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 ht="19.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9.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 ht="19.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ht="19.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4" ht="19.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19.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 ht="19.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19.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ht="19.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19.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ht="19.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ht="19.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4" ht="19.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t="19.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4" ht="19.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ht="19.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4" ht="19.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</sheetData>
  <mergeCells count="2">
    <mergeCell ref="A1:N1"/>
    <mergeCell ref="A2:N2"/>
  </mergeCells>
  <dataValidations count="4">
    <dataValidation type="list" allowBlank="1" sqref="A4:A43" xr:uid="{00000000-0002-0000-0000-000000000000}">
      <formula1>"Router,Switch,Access Point,Telefonía IP,Impresora,Escáner de red,Cámara de video vigilancia,Televisor inteligente,Control de acceso,Acondicionador de aire,UPS,Otro"</formula1>
      <formula2>0</formula2>
    </dataValidation>
    <dataValidation type="list" allowBlank="1" sqref="E4:E43" xr:uid="{00000000-0002-0000-0000-000001000000}">
      <formula1>"Alta,Media,Baja"</formula1>
      <formula2>0</formula2>
    </dataValidation>
    <dataValidation type="list" allowBlank="1" sqref="G4:G43" xr:uid="{00000000-0002-0000-0000-000002000000}">
      <formula1>"WiFi Invitados,WiFi Empleados,Telefonía IP,Video vigilancia,Misceláneos,Administración"</formula1>
      <formula2>0</formula2>
    </dataValidation>
    <dataValidation type="list" allowBlank="1" sqref="N4:N43" xr:uid="{00000000-0002-0000-0000-000003000000}">
      <formula1>"En producción,Retirado"</formula1>
      <formula2>0</formula2>
    </dataValidation>
  </dataValidations>
  <pageMargins left="0.3" right="0.3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8"/>
  <sheetViews>
    <sheetView zoomScaleNormal="100" workbookViewId="0">
      <selection sqref="A1:D1"/>
    </sheetView>
  </sheetViews>
  <sheetFormatPr baseColWidth="10" defaultColWidth="8.7109375" defaultRowHeight="15" x14ac:dyDescent="0.25"/>
  <cols>
    <col min="1" max="1" width="28" customWidth="1"/>
    <col min="2" max="4" width="16" customWidth="1"/>
  </cols>
  <sheetData>
    <row r="1" spans="1:4" ht="27.75" customHeight="1" x14ac:dyDescent="0.25">
      <c r="A1" s="3" t="s">
        <v>0</v>
      </c>
      <c r="B1" s="3"/>
      <c r="C1" s="3"/>
      <c r="D1" s="3"/>
    </row>
    <row r="2" spans="1:4" ht="21.75" customHeight="1" x14ac:dyDescent="0.25">
      <c r="A2" s="2" t="s">
        <v>16</v>
      </c>
      <c r="B2" s="2"/>
      <c r="C2" s="2"/>
      <c r="D2" s="2"/>
    </row>
    <row r="3" spans="1:4" ht="24" customHeight="1" x14ac:dyDescent="0.25">
      <c r="A3" s="7" t="s">
        <v>2</v>
      </c>
      <c r="B3" s="7" t="s">
        <v>17</v>
      </c>
      <c r="C3" s="7" t="s">
        <v>18</v>
      </c>
      <c r="D3" s="7" t="s">
        <v>19</v>
      </c>
    </row>
    <row r="4" spans="1:4" ht="15" customHeight="1" x14ac:dyDescent="0.25">
      <c r="A4" s="8" t="s">
        <v>20</v>
      </c>
      <c r="B4" s="9">
        <f>COUNTIF(Inventario!$A$4:$A$43,A4)</f>
        <v>0</v>
      </c>
      <c r="C4" s="9">
        <f>COUNTIFS(Inventario!$A$4:$A$43,A4,Inventario!$N$4:$N$43,"En producción")</f>
        <v>0</v>
      </c>
      <c r="D4" s="9">
        <f>COUNTIFS(Inventario!$A$4:$A$43,A4,Inventario!$N$4:$N$43,"Retirado")</f>
        <v>0</v>
      </c>
    </row>
    <row r="5" spans="1:4" ht="15" customHeight="1" x14ac:dyDescent="0.25">
      <c r="A5" s="10" t="s">
        <v>21</v>
      </c>
      <c r="B5" s="11">
        <f>COUNTIF(Inventario!$A$4:$A$43,A5)</f>
        <v>0</v>
      </c>
      <c r="C5" s="11">
        <f>COUNTIFS(Inventario!$A$4:$A$43,A5,Inventario!$N$4:$N$43,"En producción")</f>
        <v>0</v>
      </c>
      <c r="D5" s="11">
        <f>COUNTIFS(Inventario!$A$4:$A$43,A5,Inventario!$N$4:$N$43,"Retirado")</f>
        <v>0</v>
      </c>
    </row>
    <row r="6" spans="1:4" ht="15" customHeight="1" x14ac:dyDescent="0.25">
      <c r="A6" s="8" t="s">
        <v>22</v>
      </c>
      <c r="B6" s="9">
        <f>COUNTIF(Inventario!$A$4:$A$43,A6)</f>
        <v>0</v>
      </c>
      <c r="C6" s="9">
        <f>COUNTIFS(Inventario!$A$4:$A$43,A6,Inventario!$N$4:$N$43,"En producción")</f>
        <v>0</v>
      </c>
      <c r="D6" s="9">
        <f>COUNTIFS(Inventario!$A$4:$A$43,A6,Inventario!$N$4:$N$43,"Retirado")</f>
        <v>0</v>
      </c>
    </row>
    <row r="7" spans="1:4" ht="15" customHeight="1" x14ac:dyDescent="0.25">
      <c r="A7" s="10" t="s">
        <v>23</v>
      </c>
      <c r="B7" s="11">
        <f>COUNTIF(Inventario!$A$4:$A$43,A7)</f>
        <v>0</v>
      </c>
      <c r="C7" s="11">
        <f>COUNTIFS(Inventario!$A$4:$A$43,A7,Inventario!$N$4:$N$43,"En producción")</f>
        <v>0</v>
      </c>
      <c r="D7" s="11">
        <f>COUNTIFS(Inventario!$A$4:$A$43,A7,Inventario!$N$4:$N$43,"Retirado")</f>
        <v>0</v>
      </c>
    </row>
    <row r="8" spans="1:4" ht="15" customHeight="1" x14ac:dyDescent="0.25">
      <c r="A8" s="8" t="s">
        <v>24</v>
      </c>
      <c r="B8" s="9">
        <f>COUNTIF(Inventario!$A$4:$A$43,A8)</f>
        <v>0</v>
      </c>
      <c r="C8" s="9">
        <f>COUNTIFS(Inventario!$A$4:$A$43,A8,Inventario!$N$4:$N$43,"En producción")</f>
        <v>0</v>
      </c>
      <c r="D8" s="9">
        <f>COUNTIFS(Inventario!$A$4:$A$43,A8,Inventario!$N$4:$N$43,"Retirado")</f>
        <v>0</v>
      </c>
    </row>
    <row r="9" spans="1:4" ht="15" customHeight="1" x14ac:dyDescent="0.25">
      <c r="A9" s="10" t="s">
        <v>25</v>
      </c>
      <c r="B9" s="11">
        <f>COUNTIF(Inventario!$A$4:$A$43,A9)</f>
        <v>0</v>
      </c>
      <c r="C9" s="11">
        <f>COUNTIFS(Inventario!$A$4:$A$43,A9,Inventario!$N$4:$N$43,"En producción")</f>
        <v>0</v>
      </c>
      <c r="D9" s="11">
        <f>COUNTIFS(Inventario!$A$4:$A$43,A9,Inventario!$N$4:$N$43,"Retirado")</f>
        <v>0</v>
      </c>
    </row>
    <row r="10" spans="1:4" ht="15" customHeight="1" x14ac:dyDescent="0.25">
      <c r="A10" s="8" t="s">
        <v>26</v>
      </c>
      <c r="B10" s="9">
        <f>COUNTIF(Inventario!$A$4:$A$43,A10)</f>
        <v>0</v>
      </c>
      <c r="C10" s="9">
        <f>COUNTIFS(Inventario!$A$4:$A$43,A10,Inventario!$N$4:$N$43,"En producción")</f>
        <v>0</v>
      </c>
      <c r="D10" s="9">
        <f>COUNTIFS(Inventario!$A$4:$A$43,A10,Inventario!$N$4:$N$43,"Retirado")</f>
        <v>0</v>
      </c>
    </row>
    <row r="11" spans="1:4" ht="15" customHeight="1" x14ac:dyDescent="0.25">
      <c r="A11" s="10" t="s">
        <v>27</v>
      </c>
      <c r="B11" s="11">
        <f>COUNTIF(Inventario!$A$4:$A$43,A11)</f>
        <v>0</v>
      </c>
      <c r="C11" s="11">
        <f>COUNTIFS(Inventario!$A$4:$A$43,A11,Inventario!$N$4:$N$43,"En producción")</f>
        <v>0</v>
      </c>
      <c r="D11" s="11">
        <f>COUNTIFS(Inventario!$A$4:$A$43,A11,Inventario!$N$4:$N$43,"Retirado")</f>
        <v>0</v>
      </c>
    </row>
    <row r="12" spans="1:4" ht="15" customHeight="1" x14ac:dyDescent="0.25">
      <c r="A12" s="8" t="s">
        <v>28</v>
      </c>
      <c r="B12" s="9">
        <f>COUNTIF(Inventario!$A$4:$A$43,A12)</f>
        <v>0</v>
      </c>
      <c r="C12" s="9">
        <f>COUNTIFS(Inventario!$A$4:$A$43,A12,Inventario!$N$4:$N$43,"En producción")</f>
        <v>0</v>
      </c>
      <c r="D12" s="9">
        <f>COUNTIFS(Inventario!$A$4:$A$43,A12,Inventario!$N$4:$N$43,"Retirado")</f>
        <v>0</v>
      </c>
    </row>
    <row r="13" spans="1:4" ht="15" customHeight="1" x14ac:dyDescent="0.25">
      <c r="A13" s="10" t="s">
        <v>29</v>
      </c>
      <c r="B13" s="11">
        <f>COUNTIF(Inventario!$A$4:$A$43,A13)</f>
        <v>0</v>
      </c>
      <c r="C13" s="11">
        <f>COUNTIFS(Inventario!$A$4:$A$43,A13,Inventario!$N$4:$N$43,"En producción")</f>
        <v>0</v>
      </c>
      <c r="D13" s="11">
        <f>COUNTIFS(Inventario!$A$4:$A$43,A13,Inventario!$N$4:$N$43,"Retirado")</f>
        <v>0</v>
      </c>
    </row>
    <row r="14" spans="1:4" ht="15" customHeight="1" x14ac:dyDescent="0.25">
      <c r="A14" s="8" t="s">
        <v>30</v>
      </c>
      <c r="B14" s="9">
        <f>COUNTIF(Inventario!$A$4:$A$43,A14)</f>
        <v>0</v>
      </c>
      <c r="C14" s="9">
        <f>COUNTIFS(Inventario!$A$4:$A$43,A14,Inventario!$N$4:$N$43,"En producción")</f>
        <v>0</v>
      </c>
      <c r="D14" s="9">
        <f>COUNTIFS(Inventario!$A$4:$A$43,A14,Inventario!$N$4:$N$43,"Retirado")</f>
        <v>0</v>
      </c>
    </row>
    <row r="15" spans="1:4" ht="15" customHeight="1" x14ac:dyDescent="0.25">
      <c r="A15" s="10" t="s">
        <v>31</v>
      </c>
      <c r="B15" s="11">
        <f>COUNTIF(Inventario!$A$4:$A$43,A15)</f>
        <v>0</v>
      </c>
      <c r="C15" s="11">
        <f>COUNTIFS(Inventario!$A$4:$A$43,A15,Inventario!$N$4:$N$43,"En producción")</f>
        <v>0</v>
      </c>
      <c r="D15" s="11">
        <f>COUNTIFS(Inventario!$A$4:$A$43,A15,Inventario!$N$4:$N$43,"Retirado")</f>
        <v>0</v>
      </c>
    </row>
    <row r="16" spans="1:4" ht="15" customHeight="1" x14ac:dyDescent="0.25">
      <c r="A16" s="12" t="s">
        <v>32</v>
      </c>
      <c r="B16" s="13">
        <f>SUM(B4:B15)</f>
        <v>0</v>
      </c>
      <c r="C16" s="13">
        <f>SUM(C4:C15)</f>
        <v>0</v>
      </c>
      <c r="D16" s="13">
        <f>SUM(D4:D15)</f>
        <v>0</v>
      </c>
    </row>
    <row r="18" spans="1:4" ht="15" customHeight="1" x14ac:dyDescent="0.25">
      <c r="A18" s="1" t="s">
        <v>33</v>
      </c>
      <c r="B18" s="1"/>
      <c r="C18" s="1"/>
      <c r="D18" s="1"/>
    </row>
  </sheetData>
  <mergeCells count="3">
    <mergeCell ref="A1:D1"/>
    <mergeCell ref="A2:D2"/>
    <mergeCell ref="A18:D18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2026-07-02T13:22:50Z</dcterms:created>
  <dcterms:modified xsi:type="dcterms:W3CDTF">2026-07-02T13:27:25Z</dcterms:modified>
  <dc:language>en-US</dc:language>
</cp:coreProperties>
</file>