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47AD16F123B55BE1D4D50D6049BE1051861D9350" xr6:coauthVersionLast="47" xr6:coauthVersionMax="47" xr10:uidLastSave="{B571C0EC-2737-4A1E-8254-9D0B6E019C60}"/>
  <bookViews>
    <workbookView xWindow="31335" yWindow="1185" windowWidth="23310" windowHeight="13425" tabRatio="500" xr2:uid="{00000000-000D-0000-FFFF-FFFF00000000}"/>
  </bookViews>
  <sheets>
    <sheet name="Checklist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2" l="1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F10" i="2" s="1"/>
  <c r="E4" i="2"/>
  <c r="E10" i="2" s="1"/>
  <c r="D4" i="2"/>
  <c r="D10" i="2" s="1"/>
  <c r="C4" i="2"/>
  <c r="C10" i="2" s="1"/>
  <c r="B4" i="2"/>
  <c r="B10" i="2" s="1"/>
</calcChain>
</file>

<file path=xl/sharedStrings.xml><?xml version="1.0" encoding="utf-8"?>
<sst xmlns="http://schemas.openxmlformats.org/spreadsheetml/2006/main" count="88" uniqueCount="53">
  <si>
    <t>CIBERPROTECCIÓN PARA PyMES  ·  Capítulo 10 — Dispositivos</t>
  </si>
  <si>
    <t>Lista de Verificación — Despliegue de Controles del Capítulo</t>
  </si>
  <si>
    <t>N°</t>
  </si>
  <si>
    <t>Función</t>
  </si>
  <si>
    <t>Actividad</t>
  </si>
  <si>
    <t>Estado</t>
  </si>
  <si>
    <t>Responsable</t>
  </si>
  <si>
    <t>Fecha de ejecución</t>
  </si>
  <si>
    <t>Observaciones</t>
  </si>
  <si>
    <t>Gobernanza</t>
  </si>
  <si>
    <t>Definir la Política de Segurización de Dispositivos Periféricos</t>
  </si>
  <si>
    <t>Pendiente</t>
  </si>
  <si>
    <t>Definir el Proceso de Incorporación y Retiro de Dispositivos</t>
  </si>
  <si>
    <t>Establecer la Política de Segmentación de Red</t>
  </si>
  <si>
    <t>Identificación</t>
  </si>
  <si>
    <t>Levantar Inventario de Dispositivos</t>
  </si>
  <si>
    <t>Establecer Línea Base de Seguridad</t>
  </si>
  <si>
    <t>Definir los Indicadores Clave de Riesgo (KRI)</t>
  </si>
  <si>
    <t>Protección</t>
  </si>
  <si>
    <t>Reconfigurar Segmentos de Red</t>
  </si>
  <si>
    <t>Segurizar Dispositivos</t>
  </si>
  <si>
    <t>Respaldar Configuración</t>
  </si>
  <si>
    <t>Ejecutar Mantenimientos Periódicos Programados</t>
  </si>
  <si>
    <t>Detección</t>
  </si>
  <si>
    <t>Revisar los Indicadores Clave de Riesgo (KRI)</t>
  </si>
  <si>
    <t>Suscribir Boletines de Alerta</t>
  </si>
  <si>
    <t>Bloquear Tráfico Saliente</t>
  </si>
  <si>
    <t>Monitorizar vía SNMP</t>
  </si>
  <si>
    <t>Respuesta</t>
  </si>
  <si>
    <t>Diseñar Plan de Respuesta a Incidentes de Dispositivos</t>
  </si>
  <si>
    <t>Documentar Procedimientos de Reinstalación</t>
  </si>
  <si>
    <t>Contener Dispositivos Comprometidos</t>
  </si>
  <si>
    <t>Recuperación</t>
  </si>
  <si>
    <t>Documentar Estado Fallido</t>
  </si>
  <si>
    <t>Reinstalar Dispositivos Afectados</t>
  </si>
  <si>
    <t>Realizar Análisis Post-Mortem</t>
  </si>
  <si>
    <t>Dashboard — Estado del Despliegue</t>
  </si>
  <si>
    <t>Total actividades</t>
  </si>
  <si>
    <t>En proceso</t>
  </si>
  <si>
    <t>Completado</t>
  </si>
  <si>
    <t>No aplica</t>
  </si>
  <si>
    <t>TOTAL GENERAL</t>
  </si>
  <si>
    <t>Nota: cambie el estado de cada actividad en la hoja Checklist. Este dashboard se actualiza automáticamente.</t>
  </si>
  <si>
    <t>Instructivo de uso</t>
  </si>
  <si>
    <t>Campo</t>
  </si>
  <si>
    <t>Descripción</t>
  </si>
  <si>
    <t>Número secuencial de la actividad dentro del capítulo completo.</t>
  </si>
  <si>
    <t>Función del marco NIST CSF 2.0 a la que pertenece la actividad: Gobernanza, Identificación, Protección, Detección, Respuesta o Recuperación.</t>
  </si>
  <si>
    <t>Nombre de la actividad de segurización descrita en el capítulo de Dispositivos.</t>
  </si>
  <si>
    <t>Seleccione de la lista desplegable: Pendiente, En proceso, Completado o No aplica.</t>
  </si>
  <si>
    <t>Nombre de la persona o rol responsable de ejecutar la actividad.</t>
  </si>
  <si>
    <t>Fecha en la que la actividad fue completada o se tiene programada.</t>
  </si>
  <si>
    <t>Notas, hallazgos o excepciones relevantes registradas durante el despliegue.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</si>
</sst>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9"/>
      <color rgb="FF000000"/>
      <name val="Calibri"/>
      <charset val="1"/>
    </font>
    <font>
      <b/>
      <sz val="9"/>
      <color rgb="FF000000"/>
      <name val="Calibri"/>
      <charset val="1"/>
    </font>
    <font>
      <sz val="10"/>
      <color rgb="FF000000"/>
      <name val="Calibri"/>
      <charset val="1"/>
    </font>
    <font>
      <b/>
      <sz val="10"/>
      <name val="Calibri"/>
      <charset val="1"/>
    </font>
    <font>
      <i/>
      <sz val="9"/>
      <color rgb="FF5F5E5A"/>
      <name val="Calibri"/>
      <charset val="1"/>
    </font>
    <font>
      <sz val="1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5F5E5A"/>
        <bgColor rgb="FF808080"/>
      </patternFill>
    </fill>
    <fill>
      <patternFill patternType="solid">
        <fgColor rgb="FF185FA5"/>
        <bgColor rgb="FF0F3F6E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D3D1C7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/>
    <xf numFmtId="0" fontId="1" fillId="2" borderId="0" xfId="0" applyFont="1" applyFill="1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0" xfId="0" applyFont="1"/>
    <xf numFmtId="0" fontId="3" fillId="4" borderId="0" xfId="0" applyFont="1" applyFill="1"/>
    <xf numFmtId="0" fontId="9" fillId="5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F3F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5" customWidth="1"/>
    <col min="2" max="2" width="16" customWidth="1"/>
    <col min="3" max="3" width="44" customWidth="1"/>
    <col min="4" max="4" width="16" customWidth="1"/>
    <col min="5" max="5" width="18" customWidth="1"/>
    <col min="6" max="6" width="16" customWidth="1"/>
    <col min="7" max="7" width="32" customWidth="1"/>
  </cols>
  <sheetData>
    <row r="1" spans="1:7" ht="27.75" customHeight="1" x14ac:dyDescent="0.25">
      <c r="A1" s="4" t="s">
        <v>0</v>
      </c>
      <c r="B1" s="4"/>
      <c r="C1" s="4"/>
      <c r="D1" s="4"/>
      <c r="E1" s="4"/>
      <c r="F1" s="4"/>
      <c r="G1" s="4"/>
    </row>
    <row r="2" spans="1:7" ht="21.75" customHeight="1" x14ac:dyDescent="0.25">
      <c r="A2" s="3" t="s">
        <v>1</v>
      </c>
      <c r="B2" s="3"/>
      <c r="C2" s="3"/>
      <c r="D2" s="3"/>
      <c r="E2" s="3"/>
      <c r="F2" s="3"/>
      <c r="G2" s="3"/>
    </row>
    <row r="3" spans="1:7" ht="21.75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ht="24" customHeight="1" x14ac:dyDescent="0.25">
      <c r="A4" s="6">
        <v>1</v>
      </c>
      <c r="B4" s="7" t="s">
        <v>9</v>
      </c>
      <c r="C4" s="8" t="s">
        <v>10</v>
      </c>
      <c r="D4" s="6" t="s">
        <v>11</v>
      </c>
      <c r="E4" s="9"/>
      <c r="F4" s="9"/>
      <c r="G4" s="9"/>
    </row>
    <row r="5" spans="1:7" ht="24" customHeight="1" x14ac:dyDescent="0.25">
      <c r="A5" s="10">
        <v>2</v>
      </c>
      <c r="B5" s="11"/>
      <c r="C5" s="12" t="s">
        <v>12</v>
      </c>
      <c r="D5" s="10" t="s">
        <v>11</v>
      </c>
      <c r="E5" s="11"/>
      <c r="F5" s="11"/>
      <c r="G5" s="11"/>
    </row>
    <row r="6" spans="1:7" ht="24" customHeight="1" x14ac:dyDescent="0.25">
      <c r="A6" s="6">
        <v>3</v>
      </c>
      <c r="B6" s="9"/>
      <c r="C6" s="8" t="s">
        <v>13</v>
      </c>
      <c r="D6" s="6" t="s">
        <v>11</v>
      </c>
      <c r="E6" s="9"/>
      <c r="F6" s="9"/>
      <c r="G6" s="9"/>
    </row>
    <row r="7" spans="1:7" ht="24" customHeight="1" x14ac:dyDescent="0.25">
      <c r="A7" s="10">
        <v>4</v>
      </c>
      <c r="B7" s="13" t="s">
        <v>14</v>
      </c>
      <c r="C7" s="12" t="s">
        <v>15</v>
      </c>
      <c r="D7" s="10" t="s">
        <v>11</v>
      </c>
      <c r="E7" s="11"/>
      <c r="F7" s="11"/>
      <c r="G7" s="11"/>
    </row>
    <row r="8" spans="1:7" ht="24" customHeight="1" x14ac:dyDescent="0.25">
      <c r="A8" s="6">
        <v>5</v>
      </c>
      <c r="B8" s="9"/>
      <c r="C8" s="8" t="s">
        <v>16</v>
      </c>
      <c r="D8" s="6" t="s">
        <v>11</v>
      </c>
      <c r="E8" s="9"/>
      <c r="F8" s="9"/>
      <c r="G8" s="9"/>
    </row>
    <row r="9" spans="1:7" ht="24" customHeight="1" x14ac:dyDescent="0.25">
      <c r="A9" s="10">
        <v>6</v>
      </c>
      <c r="B9" s="11"/>
      <c r="C9" s="12" t="s">
        <v>17</v>
      </c>
      <c r="D9" s="10" t="s">
        <v>11</v>
      </c>
      <c r="E9" s="11"/>
      <c r="F9" s="11"/>
      <c r="G9" s="11"/>
    </row>
    <row r="10" spans="1:7" ht="24" customHeight="1" x14ac:dyDescent="0.25">
      <c r="A10" s="6">
        <v>7</v>
      </c>
      <c r="B10" s="7" t="s">
        <v>18</v>
      </c>
      <c r="C10" s="8" t="s">
        <v>19</v>
      </c>
      <c r="D10" s="6" t="s">
        <v>11</v>
      </c>
      <c r="E10" s="9"/>
      <c r="F10" s="9"/>
      <c r="G10" s="9"/>
    </row>
    <row r="11" spans="1:7" ht="24" customHeight="1" x14ac:dyDescent="0.25">
      <c r="A11" s="10">
        <v>8</v>
      </c>
      <c r="B11" s="11"/>
      <c r="C11" s="12" t="s">
        <v>20</v>
      </c>
      <c r="D11" s="10" t="s">
        <v>11</v>
      </c>
      <c r="E11" s="11"/>
      <c r="F11" s="11"/>
      <c r="G11" s="11"/>
    </row>
    <row r="12" spans="1:7" ht="24" customHeight="1" x14ac:dyDescent="0.25">
      <c r="A12" s="6">
        <v>9</v>
      </c>
      <c r="B12" s="9"/>
      <c r="C12" s="8" t="s">
        <v>21</v>
      </c>
      <c r="D12" s="6" t="s">
        <v>11</v>
      </c>
      <c r="E12" s="9"/>
      <c r="F12" s="9"/>
      <c r="G12" s="9"/>
    </row>
    <row r="13" spans="1:7" ht="24" customHeight="1" x14ac:dyDescent="0.25">
      <c r="A13" s="10">
        <v>10</v>
      </c>
      <c r="B13" s="11"/>
      <c r="C13" s="12" t="s">
        <v>22</v>
      </c>
      <c r="D13" s="10" t="s">
        <v>11</v>
      </c>
      <c r="E13" s="11"/>
      <c r="F13" s="11"/>
      <c r="G13" s="11"/>
    </row>
    <row r="14" spans="1:7" ht="24" customHeight="1" x14ac:dyDescent="0.25">
      <c r="A14" s="6">
        <v>11</v>
      </c>
      <c r="B14" s="7" t="s">
        <v>23</v>
      </c>
      <c r="C14" s="8" t="s">
        <v>24</v>
      </c>
      <c r="D14" s="6" t="s">
        <v>11</v>
      </c>
      <c r="E14" s="9"/>
      <c r="F14" s="9"/>
      <c r="G14" s="9"/>
    </row>
    <row r="15" spans="1:7" ht="24" customHeight="1" x14ac:dyDescent="0.25">
      <c r="A15" s="10">
        <v>12</v>
      </c>
      <c r="B15" s="11"/>
      <c r="C15" s="12" t="s">
        <v>25</v>
      </c>
      <c r="D15" s="10" t="s">
        <v>11</v>
      </c>
      <c r="E15" s="11"/>
      <c r="F15" s="11"/>
      <c r="G15" s="11"/>
    </row>
    <row r="16" spans="1:7" ht="24" customHeight="1" x14ac:dyDescent="0.25">
      <c r="A16" s="6">
        <v>13</v>
      </c>
      <c r="B16" s="9"/>
      <c r="C16" s="8" t="s">
        <v>26</v>
      </c>
      <c r="D16" s="6" t="s">
        <v>11</v>
      </c>
      <c r="E16" s="9"/>
      <c r="F16" s="9"/>
      <c r="G16" s="9"/>
    </row>
    <row r="17" spans="1:7" ht="24" customHeight="1" x14ac:dyDescent="0.25">
      <c r="A17" s="10">
        <v>14</v>
      </c>
      <c r="B17" s="11"/>
      <c r="C17" s="12" t="s">
        <v>27</v>
      </c>
      <c r="D17" s="10" t="s">
        <v>11</v>
      </c>
      <c r="E17" s="11"/>
      <c r="F17" s="11"/>
      <c r="G17" s="11"/>
    </row>
    <row r="18" spans="1:7" ht="24" customHeight="1" x14ac:dyDescent="0.25">
      <c r="A18" s="6">
        <v>15</v>
      </c>
      <c r="B18" s="7" t="s">
        <v>28</v>
      </c>
      <c r="C18" s="8" t="s">
        <v>29</v>
      </c>
      <c r="D18" s="6" t="s">
        <v>11</v>
      </c>
      <c r="E18" s="9"/>
      <c r="F18" s="9"/>
      <c r="G18" s="9"/>
    </row>
    <row r="19" spans="1:7" ht="24" customHeight="1" x14ac:dyDescent="0.25">
      <c r="A19" s="10">
        <v>16</v>
      </c>
      <c r="B19" s="11"/>
      <c r="C19" s="12" t="s">
        <v>30</v>
      </c>
      <c r="D19" s="10" t="s">
        <v>11</v>
      </c>
      <c r="E19" s="11"/>
      <c r="F19" s="11"/>
      <c r="G19" s="11"/>
    </row>
    <row r="20" spans="1:7" ht="24" customHeight="1" x14ac:dyDescent="0.25">
      <c r="A20" s="6">
        <v>17</v>
      </c>
      <c r="B20" s="9"/>
      <c r="C20" s="8" t="s">
        <v>31</v>
      </c>
      <c r="D20" s="6" t="s">
        <v>11</v>
      </c>
      <c r="E20" s="9"/>
      <c r="F20" s="9"/>
      <c r="G20" s="9"/>
    </row>
    <row r="21" spans="1:7" ht="24" customHeight="1" x14ac:dyDescent="0.25">
      <c r="A21" s="10">
        <v>18</v>
      </c>
      <c r="B21" s="13" t="s">
        <v>32</v>
      </c>
      <c r="C21" s="12" t="s">
        <v>33</v>
      </c>
      <c r="D21" s="10" t="s">
        <v>11</v>
      </c>
      <c r="E21" s="11"/>
      <c r="F21" s="11"/>
      <c r="G21" s="11"/>
    </row>
    <row r="22" spans="1:7" ht="24" customHeight="1" x14ac:dyDescent="0.25">
      <c r="A22" s="6">
        <v>19</v>
      </c>
      <c r="B22" s="9"/>
      <c r="C22" s="8" t="s">
        <v>34</v>
      </c>
      <c r="D22" s="6" t="s">
        <v>11</v>
      </c>
      <c r="E22" s="9"/>
      <c r="F22" s="9"/>
      <c r="G22" s="9"/>
    </row>
    <row r="23" spans="1:7" ht="24" customHeight="1" x14ac:dyDescent="0.25">
      <c r="A23" s="10">
        <v>20</v>
      </c>
      <c r="B23" s="11"/>
      <c r="C23" s="12" t="s">
        <v>35</v>
      </c>
      <c r="D23" s="10" t="s">
        <v>11</v>
      </c>
      <c r="E23" s="11"/>
      <c r="F23" s="11"/>
      <c r="G23" s="11"/>
    </row>
  </sheetData>
  <mergeCells count="2">
    <mergeCell ref="A1:G1"/>
    <mergeCell ref="A2:G2"/>
  </mergeCells>
  <dataValidations count="1">
    <dataValidation type="list" allowBlank="1" sqref="D4:D23" xr:uid="{00000000-0002-0000-0000-000000000000}">
      <formula1>"Pendiente,En proceso,Completado,No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/>
  </sheetViews>
  <sheetFormatPr baseColWidth="10" defaultColWidth="8.7109375" defaultRowHeight="15" x14ac:dyDescent="0.25"/>
  <cols>
    <col min="1" max="1" width="18" customWidth="1"/>
    <col min="2" max="6" width="16" customWidth="1"/>
  </cols>
  <sheetData>
    <row r="1" spans="1:6" ht="27.75" customHeight="1" x14ac:dyDescent="0.3">
      <c r="A1" s="2" t="s">
        <v>0</v>
      </c>
      <c r="B1" s="2"/>
      <c r="C1" s="2"/>
      <c r="D1" s="2"/>
      <c r="E1" s="2"/>
      <c r="F1" s="2"/>
    </row>
    <row r="2" spans="1:6" ht="21.75" customHeight="1" x14ac:dyDescent="0.25">
      <c r="A2" s="1" t="s">
        <v>36</v>
      </c>
      <c r="B2" s="1"/>
      <c r="C2" s="1"/>
      <c r="D2" s="1"/>
      <c r="E2" s="1"/>
      <c r="F2" s="1"/>
    </row>
    <row r="3" spans="1:6" ht="21.75" customHeight="1" x14ac:dyDescent="0.25">
      <c r="A3" s="5" t="s">
        <v>3</v>
      </c>
      <c r="B3" s="5" t="s">
        <v>37</v>
      </c>
      <c r="C3" s="5" t="s">
        <v>11</v>
      </c>
      <c r="D3" s="5" t="s">
        <v>38</v>
      </c>
      <c r="E3" s="5" t="s">
        <v>39</v>
      </c>
      <c r="F3" s="5" t="s">
        <v>40</v>
      </c>
    </row>
    <row r="4" spans="1:6" x14ac:dyDescent="0.25">
      <c r="A4" s="14" t="s">
        <v>9</v>
      </c>
      <c r="B4" s="15">
        <f>COUNTA(Checklist!C4:C6)</f>
        <v>3</v>
      </c>
      <c r="C4" s="15">
        <f>COUNTIF(Checklist!D4:D6,"Pendiente")</f>
        <v>3</v>
      </c>
      <c r="D4" s="15">
        <f>COUNTIF(Checklist!D4:D6,"En proceso")</f>
        <v>0</v>
      </c>
      <c r="E4" s="15">
        <f>COUNTIF(Checklist!D4:D6,"Completado")</f>
        <v>0</v>
      </c>
      <c r="F4" s="15">
        <f>COUNTIF(Checklist!D4:D6,"No aplica")</f>
        <v>0</v>
      </c>
    </row>
    <row r="5" spans="1:6" x14ac:dyDescent="0.25">
      <c r="A5" s="14" t="s">
        <v>14</v>
      </c>
      <c r="B5" s="15">
        <f>COUNTA(Checklist!C7:C9)</f>
        <v>3</v>
      </c>
      <c r="C5" s="15">
        <f>COUNTIF(Checklist!D7:D9,"Pendiente")</f>
        <v>3</v>
      </c>
      <c r="D5" s="15">
        <f>COUNTIF(Checklist!D7:D9,"En proceso")</f>
        <v>0</v>
      </c>
      <c r="E5" s="15">
        <f>COUNTIF(Checklist!D7:D9,"Completado")</f>
        <v>0</v>
      </c>
      <c r="F5" s="15">
        <f>COUNTIF(Checklist!D7:D9,"No aplica")</f>
        <v>0</v>
      </c>
    </row>
    <row r="6" spans="1:6" x14ac:dyDescent="0.25">
      <c r="A6" s="14" t="s">
        <v>18</v>
      </c>
      <c r="B6" s="15">
        <f>COUNTA(Checklist!C10:C13)</f>
        <v>4</v>
      </c>
      <c r="C6" s="15">
        <f>COUNTIF(Checklist!D10:D13,"Pendiente")</f>
        <v>4</v>
      </c>
      <c r="D6" s="15">
        <f>COUNTIF(Checklist!D10:D13,"En proceso")</f>
        <v>0</v>
      </c>
      <c r="E6" s="15">
        <f>COUNTIF(Checklist!D10:D13,"Completado")</f>
        <v>0</v>
      </c>
      <c r="F6" s="15">
        <f>COUNTIF(Checklist!D10:D13,"No aplica")</f>
        <v>0</v>
      </c>
    </row>
    <row r="7" spans="1:6" x14ac:dyDescent="0.25">
      <c r="A7" s="14" t="s">
        <v>23</v>
      </c>
      <c r="B7" s="15">
        <f>COUNTA(Checklist!C14:C17)</f>
        <v>4</v>
      </c>
      <c r="C7" s="15">
        <f>COUNTIF(Checklist!D14:D17,"Pendiente")</f>
        <v>4</v>
      </c>
      <c r="D7" s="15">
        <f>COUNTIF(Checklist!D14:D17,"En proceso")</f>
        <v>0</v>
      </c>
      <c r="E7" s="15">
        <f>COUNTIF(Checklist!D14:D17,"Completado")</f>
        <v>0</v>
      </c>
      <c r="F7" s="15">
        <f>COUNTIF(Checklist!D14:D17,"No aplica")</f>
        <v>0</v>
      </c>
    </row>
    <row r="8" spans="1:6" x14ac:dyDescent="0.25">
      <c r="A8" s="14" t="s">
        <v>28</v>
      </c>
      <c r="B8" s="15">
        <f>COUNTA(Checklist!C18:C20)</f>
        <v>3</v>
      </c>
      <c r="C8" s="15">
        <f>COUNTIF(Checklist!D18:D20,"Pendiente")</f>
        <v>3</v>
      </c>
      <c r="D8" s="15">
        <f>COUNTIF(Checklist!D18:D20,"En proceso")</f>
        <v>0</v>
      </c>
      <c r="E8" s="15">
        <f>COUNTIF(Checklist!D18:D20,"Completado")</f>
        <v>0</v>
      </c>
      <c r="F8" s="15">
        <f>COUNTIF(Checklist!D18:D20,"No aplica")</f>
        <v>0</v>
      </c>
    </row>
    <row r="9" spans="1:6" x14ac:dyDescent="0.25">
      <c r="A9" s="14" t="s">
        <v>32</v>
      </c>
      <c r="B9" s="15">
        <f>COUNTA(Checklist!C21:C23)</f>
        <v>3</v>
      </c>
      <c r="C9" s="15">
        <f>COUNTIF(Checklist!D21:D23,"Pendiente")</f>
        <v>3</v>
      </c>
      <c r="D9" s="15">
        <f>COUNTIF(Checklist!D21:D23,"En proceso")</f>
        <v>0</v>
      </c>
      <c r="E9" s="15">
        <f>COUNTIF(Checklist!D21:D23,"Completado")</f>
        <v>0</v>
      </c>
      <c r="F9" s="15">
        <f>COUNTIF(Checklist!D21:D23,"No aplica")</f>
        <v>0</v>
      </c>
    </row>
    <row r="10" spans="1:6" x14ac:dyDescent="0.25">
      <c r="A10" s="16" t="s">
        <v>41</v>
      </c>
      <c r="B10" s="16">
        <f>SUM(B4:B9)</f>
        <v>20</v>
      </c>
      <c r="C10" s="16">
        <f>SUM(C4:C9)</f>
        <v>20</v>
      </c>
      <c r="D10" s="16">
        <f>SUM(D4:D9)</f>
        <v>0</v>
      </c>
      <c r="E10" s="16">
        <f>SUM(E4:E9)</f>
        <v>0</v>
      </c>
      <c r="F10" s="16">
        <f>SUM(F4:F9)</f>
        <v>0</v>
      </c>
    </row>
    <row r="12" spans="1:6" x14ac:dyDescent="0.25">
      <c r="A12" s="17" t="s">
        <v>42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85" customWidth="1"/>
  </cols>
  <sheetData>
    <row r="1" spans="1:2" ht="24" customHeight="1" x14ac:dyDescent="0.3">
      <c r="A1" s="2" t="s">
        <v>43</v>
      </c>
      <c r="B1" s="2"/>
    </row>
    <row r="2" spans="1:2" x14ac:dyDescent="0.25">
      <c r="A2" s="18" t="s">
        <v>44</v>
      </c>
      <c r="B2" s="18" t="s">
        <v>45</v>
      </c>
    </row>
    <row r="3" spans="1:2" x14ac:dyDescent="0.25">
      <c r="A3" s="19" t="s">
        <v>2</v>
      </c>
      <c r="B3" s="19" t="s">
        <v>46</v>
      </c>
    </row>
    <row r="4" spans="1:2" ht="25.5" x14ac:dyDescent="0.25">
      <c r="A4" s="20" t="s">
        <v>3</v>
      </c>
      <c r="B4" s="20" t="s">
        <v>47</v>
      </c>
    </row>
    <row r="5" spans="1:2" x14ac:dyDescent="0.25">
      <c r="A5" s="19" t="s">
        <v>4</v>
      </c>
      <c r="B5" s="19" t="s">
        <v>48</v>
      </c>
    </row>
    <row r="6" spans="1:2" x14ac:dyDescent="0.25">
      <c r="A6" s="20" t="s">
        <v>5</v>
      </c>
      <c r="B6" s="20" t="s">
        <v>49</v>
      </c>
    </row>
    <row r="7" spans="1:2" x14ac:dyDescent="0.25">
      <c r="A7" s="19" t="s">
        <v>6</v>
      </c>
      <c r="B7" s="19" t="s">
        <v>50</v>
      </c>
    </row>
    <row r="8" spans="1:2" x14ac:dyDescent="0.25">
      <c r="A8" s="20" t="s">
        <v>7</v>
      </c>
      <c r="B8" s="20" t="s">
        <v>51</v>
      </c>
    </row>
    <row r="9" spans="1:2" x14ac:dyDescent="0.25">
      <c r="A9" s="19" t="s">
        <v>8</v>
      </c>
      <c r="B9" s="19" t="s">
        <v>52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2026-09-15T00:45:38Z</dcterms:created>
  <dcterms:modified xsi:type="dcterms:W3CDTF">2026-09-15T00:48:16Z</dcterms:modified>
  <dc:language>en-US</dc:language>
</cp:coreProperties>
</file>