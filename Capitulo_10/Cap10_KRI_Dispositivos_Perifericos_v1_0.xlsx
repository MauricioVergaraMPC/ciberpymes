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D2D7F771DD805F883E9B5CB3290AE1D4D5C75102" xr6:coauthVersionLast="47" xr6:coauthVersionMax="47" xr10:uidLastSave="{4DAE944A-095B-47FD-BA24-CD0225C478A5}"/>
  <bookViews>
    <workbookView xWindow="4005" yWindow="1095" windowWidth="21600" windowHeight="11505" tabRatio="500" xr2:uid="{00000000-000D-0000-FFFF-FFFF00000000}"/>
  </bookViews>
  <sheets>
    <sheet name="KRI" sheetId="1" r:id="rId1"/>
    <sheet name="Dashboar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" i="2" l="1"/>
  <c r="C6" i="2"/>
  <c r="B6" i="2"/>
  <c r="D5" i="2"/>
  <c r="C5" i="2"/>
  <c r="B5" i="2"/>
  <c r="D4" i="2"/>
  <c r="D7" i="2" s="1"/>
  <c r="C4" i="2"/>
  <c r="C7" i="2" s="1"/>
  <c r="B4" i="2"/>
  <c r="B7" i="2" s="1"/>
</calcChain>
</file>

<file path=xl/sharedStrings.xml><?xml version="1.0" encoding="utf-8"?>
<sst xmlns="http://schemas.openxmlformats.org/spreadsheetml/2006/main" count="56" uniqueCount="44">
  <si>
    <t>CIBERPROTECCIÓN PARA PyMES  ·  Capítulo 10 — Dispositivos Periféricos</t>
  </si>
  <si>
    <t>Indicadores Clave de Riesgo (KRI) — Dispositivos Periféricos</t>
  </si>
  <si>
    <t>ID</t>
  </si>
  <si>
    <t>Descripción</t>
  </si>
  <si>
    <t>Umbral</t>
  </si>
  <si>
    <t>Frecuencia de revisión</t>
  </si>
  <si>
    <t>Acción esperada</t>
  </si>
  <si>
    <t>Última revisión</t>
  </si>
  <si>
    <t>Resultado</t>
  </si>
  <si>
    <t>Observaciones</t>
  </si>
  <si>
    <t>KRI-DIS-01</t>
  </si>
  <si>
    <t>Dispositivos con credenciales por defecto sin modificar</t>
  </si>
  <si>
    <t>Cualquier ocurrencia</t>
  </si>
  <si>
    <t>Inmediata</t>
  </si>
  <si>
    <t>Cambiar credenciales de inmediato; suspender del segmento de producción si el dispositivo es crítico</t>
  </si>
  <si>
    <t>KRI-DIS-02</t>
  </si>
  <si>
    <t>Dispositivos con firmware por debajo de la Línea Base</t>
  </si>
  <si>
    <t>&gt; 10% del inventario</t>
  </si>
  <si>
    <t>Semanal</t>
  </si>
  <si>
    <t>Aplicar actualización o documentar excepción con plazo de remediación</t>
  </si>
  <si>
    <t>KRI-DIS-03</t>
  </si>
  <si>
    <t>Dispositivos fuera de soporte del fabricante (EOL)</t>
  </si>
  <si>
    <t>Mensual</t>
  </si>
  <si>
    <t>Marcar como candidato prioritario de reemplazo</t>
  </si>
  <si>
    <t>KRI-DIS-04</t>
  </si>
  <si>
    <t>Dispositivos con protocolos inseguros habilitados (Telnet, SNMP v1/v2c)</t>
  </si>
  <si>
    <t>Deshabilitar de inmediato conforme a la Línea Base</t>
  </si>
  <si>
    <t>KRI-DIS-05</t>
  </si>
  <si>
    <t>Dispositivos fuera del segmento de red que corresponde a su categoría</t>
  </si>
  <si>
    <t>Reasignar VLAN; investigar la causa de la desviación</t>
  </si>
  <si>
    <t>KRI-DIS-06</t>
  </si>
  <si>
    <t>Tráfico saliente anómalo desde el segmento de dispositivos periféricos</t>
  </si>
  <si>
    <t>Cualquier pico no explicado</t>
  </si>
  <si>
    <t>Aislar el dispositivo; iniciar procedimiento de reinstalación</t>
  </si>
  <si>
    <t>KRI-DIS-07</t>
  </si>
  <si>
    <t>Dispositivos sin respaldo de configuración vigente</t>
  </si>
  <si>
    <t>&gt; 90 días desde el último respaldo</t>
  </si>
  <si>
    <t>Ejecutar respaldo; escalar si falla de forma repetida</t>
  </si>
  <si>
    <t>Dashboard — Estado de los KRI</t>
  </si>
  <si>
    <t>Total KRI</t>
  </si>
  <si>
    <t>Cumple</t>
  </si>
  <si>
    <t>No cumple</t>
  </si>
  <si>
    <t>TOTAL GENERAL</t>
  </si>
  <si>
    <t>Nota: registre el resultado de cada revisión en la hoja KRI. Este dashboard se actualiza automáticamente.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</si>
</sst>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b/>
      <sz val="10"/>
      <color rgb="FF0F3F6E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i/>
      <sz val="9"/>
      <color rgb="FF555555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0F3F6E"/>
        <bgColor rgb="FF333399"/>
      </patternFill>
    </fill>
    <fill>
      <patternFill patternType="solid">
        <fgColor rgb="FF185FA5"/>
        <bgColor rgb="FF0F3F6E"/>
      </patternFill>
    </fill>
    <fill>
      <patternFill patternType="solid">
        <fgColor rgb="FFFFFFFF"/>
        <bgColor rgb="FFF5F5F2"/>
      </patternFill>
    </fill>
    <fill>
      <patternFill patternType="solid">
        <fgColor rgb="FFF5F5F2"/>
        <bgColor rgb="FFFFFFFF"/>
      </patternFill>
    </fill>
    <fill>
      <patternFill patternType="solid">
        <fgColor rgb="FFB5D4F4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7" fillId="0" borderId="0" xfId="0" applyFont="1"/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3" fillId="2" borderId="0" xfId="0" applyFont="1" applyFill="1"/>
    <xf numFmtId="0" fontId="6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2"/>
      <rgbColor rgb="FFCCFFFF"/>
      <rgbColor rgb="FF660066"/>
      <rgbColor rgb="FFFF8080"/>
      <rgbColor rgb="FF185FA5"/>
      <rgbColor rgb="FFB5D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F3F6E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"/>
  <sheetViews>
    <sheetView tabSelected="1" zoomScaleNormal="100" workbookViewId="0">
      <pane ySplit="3" topLeftCell="A4" activePane="bottomLeft" state="frozen"/>
      <selection pane="bottomLeft" sqref="A1:H1"/>
    </sheetView>
  </sheetViews>
  <sheetFormatPr baseColWidth="10" defaultColWidth="8.7109375" defaultRowHeight="15" x14ac:dyDescent="0.25"/>
  <cols>
    <col min="1" max="1" width="12" customWidth="1"/>
    <col min="2" max="2" width="42" customWidth="1"/>
    <col min="3" max="3" width="22" customWidth="1"/>
    <col min="4" max="4" width="18" customWidth="1"/>
    <col min="5" max="5" width="42" customWidth="1"/>
    <col min="6" max="6" width="16" customWidth="1"/>
    <col min="7" max="7" width="14" customWidth="1"/>
    <col min="8" max="8" width="26" customWidth="1"/>
  </cols>
  <sheetData>
    <row r="1" spans="1:8" ht="27.75" customHeight="1" x14ac:dyDescent="0.25">
      <c r="A1" s="3" t="s">
        <v>0</v>
      </c>
      <c r="B1" s="3"/>
      <c r="C1" s="3"/>
      <c r="D1" s="3"/>
      <c r="E1" s="3"/>
      <c r="F1" s="3"/>
      <c r="G1" s="3"/>
      <c r="H1" s="3"/>
    </row>
    <row r="2" spans="1:8" ht="21.75" customHeight="1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ht="30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ht="39.75" customHeight="1" x14ac:dyDescent="0.25">
      <c r="A4" s="5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/>
      <c r="G4" s="6"/>
      <c r="H4" s="6"/>
    </row>
    <row r="5" spans="1:8" ht="39.75" customHeight="1" x14ac:dyDescent="0.25">
      <c r="A5" s="7" t="s">
        <v>15</v>
      </c>
      <c r="B5" s="8" t="s">
        <v>16</v>
      </c>
      <c r="C5" s="8" t="s">
        <v>17</v>
      </c>
      <c r="D5" s="8" t="s">
        <v>18</v>
      </c>
      <c r="E5" s="8" t="s">
        <v>19</v>
      </c>
      <c r="F5" s="8"/>
      <c r="G5" s="8"/>
      <c r="H5" s="8"/>
    </row>
    <row r="6" spans="1:8" ht="39.75" customHeight="1" x14ac:dyDescent="0.25">
      <c r="A6" s="5" t="s">
        <v>20</v>
      </c>
      <c r="B6" s="6" t="s">
        <v>21</v>
      </c>
      <c r="C6" s="6" t="s">
        <v>12</v>
      </c>
      <c r="D6" s="6" t="s">
        <v>22</v>
      </c>
      <c r="E6" s="6" t="s">
        <v>23</v>
      </c>
      <c r="F6" s="6"/>
      <c r="G6" s="6"/>
      <c r="H6" s="6"/>
    </row>
    <row r="7" spans="1:8" ht="39.75" customHeight="1" x14ac:dyDescent="0.25">
      <c r="A7" s="7" t="s">
        <v>24</v>
      </c>
      <c r="B7" s="8" t="s">
        <v>25</v>
      </c>
      <c r="C7" s="8" t="s">
        <v>12</v>
      </c>
      <c r="D7" s="8" t="s">
        <v>13</v>
      </c>
      <c r="E7" s="8" t="s">
        <v>26</v>
      </c>
      <c r="F7" s="8"/>
      <c r="G7" s="8"/>
      <c r="H7" s="8"/>
    </row>
    <row r="8" spans="1:8" ht="39.75" customHeight="1" x14ac:dyDescent="0.25">
      <c r="A8" s="5" t="s">
        <v>27</v>
      </c>
      <c r="B8" s="6" t="s">
        <v>28</v>
      </c>
      <c r="C8" s="6" t="s">
        <v>12</v>
      </c>
      <c r="D8" s="6" t="s">
        <v>18</v>
      </c>
      <c r="E8" s="6" t="s">
        <v>29</v>
      </c>
      <c r="F8" s="6"/>
      <c r="G8" s="6"/>
      <c r="H8" s="6"/>
    </row>
    <row r="9" spans="1:8" ht="39.75" customHeight="1" x14ac:dyDescent="0.25">
      <c r="A9" s="7" t="s">
        <v>30</v>
      </c>
      <c r="B9" s="8" t="s">
        <v>31</v>
      </c>
      <c r="C9" s="8" t="s">
        <v>32</v>
      </c>
      <c r="D9" s="8" t="s">
        <v>13</v>
      </c>
      <c r="E9" s="8" t="s">
        <v>33</v>
      </c>
      <c r="F9" s="8"/>
      <c r="G9" s="8"/>
      <c r="H9" s="8"/>
    </row>
    <row r="10" spans="1:8" ht="39.75" customHeight="1" x14ac:dyDescent="0.25">
      <c r="A10" s="5" t="s">
        <v>34</v>
      </c>
      <c r="B10" s="6" t="s">
        <v>35</v>
      </c>
      <c r="C10" s="6" t="s">
        <v>36</v>
      </c>
      <c r="D10" s="6" t="s">
        <v>22</v>
      </c>
      <c r="E10" s="6" t="s">
        <v>37</v>
      </c>
      <c r="F10" s="6"/>
      <c r="G10" s="6"/>
      <c r="H10" s="6"/>
    </row>
  </sheetData>
  <mergeCells count="2">
    <mergeCell ref="A1:H1"/>
    <mergeCell ref="A2:H2"/>
  </mergeCells>
  <dataValidations count="1">
    <dataValidation type="list" allowBlank="1" sqref="G4:G10" xr:uid="{00000000-0002-0000-0000-000000000000}">
      <formula1>"Cumple,No cumple,Pendiente de revisión"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Normal="100" workbookViewId="0"/>
  </sheetViews>
  <sheetFormatPr baseColWidth="10" defaultColWidth="8.7109375" defaultRowHeight="15" x14ac:dyDescent="0.25"/>
  <cols>
    <col min="1" max="1" width="24" customWidth="1"/>
    <col min="2" max="4" width="16" customWidth="1"/>
  </cols>
  <sheetData>
    <row r="1" spans="1:4" ht="27.75" customHeight="1" x14ac:dyDescent="0.25">
      <c r="A1" s="3" t="s">
        <v>0</v>
      </c>
      <c r="B1" s="3"/>
      <c r="C1" s="3"/>
      <c r="D1" s="3"/>
    </row>
    <row r="2" spans="1:4" ht="21.75" customHeight="1" x14ac:dyDescent="0.25">
      <c r="A2" s="2" t="s">
        <v>38</v>
      </c>
      <c r="B2" s="2"/>
      <c r="C2" s="2"/>
      <c r="D2" s="2"/>
    </row>
    <row r="3" spans="1:4" ht="24" customHeight="1" x14ac:dyDescent="0.25">
      <c r="A3" s="9" t="s">
        <v>5</v>
      </c>
      <c r="B3" s="9" t="s">
        <v>39</v>
      </c>
      <c r="C3" s="9" t="s">
        <v>40</v>
      </c>
      <c r="D3" s="9" t="s">
        <v>41</v>
      </c>
    </row>
    <row r="4" spans="1:4" x14ac:dyDescent="0.25">
      <c r="A4" s="10" t="s">
        <v>13</v>
      </c>
      <c r="B4" s="11">
        <f>COUNTIF(KRI!$D$4:$D$10,A4)</f>
        <v>3</v>
      </c>
      <c r="C4" s="11">
        <f>COUNTIFS(KRI!$D$4:$D$10,A4,KRI!$G$4:$G$10,"Cumple")</f>
        <v>0</v>
      </c>
      <c r="D4" s="11">
        <f>COUNTIFS(KRI!$D$4:$D$10,A4,KRI!$G$4:$G$10,"No cumple")</f>
        <v>0</v>
      </c>
    </row>
    <row r="5" spans="1:4" x14ac:dyDescent="0.25">
      <c r="A5" s="12" t="s">
        <v>18</v>
      </c>
      <c r="B5" s="13">
        <f>COUNTIF(KRI!$D$4:$D$10,A5)</f>
        <v>2</v>
      </c>
      <c r="C5" s="13">
        <f>COUNTIFS(KRI!$D$4:$D$10,A5,KRI!$G$4:$G$10,"Cumple")</f>
        <v>0</v>
      </c>
      <c r="D5" s="13">
        <f>COUNTIFS(KRI!$D$4:$D$10,A5,KRI!$G$4:$G$10,"No cumple")</f>
        <v>0</v>
      </c>
    </row>
    <row r="6" spans="1:4" x14ac:dyDescent="0.25">
      <c r="A6" s="10" t="s">
        <v>22</v>
      </c>
      <c r="B6" s="11">
        <f>COUNTIF(KRI!$D$4:$D$10,A6)</f>
        <v>2</v>
      </c>
      <c r="C6" s="11">
        <f>COUNTIFS(KRI!$D$4:$D$10,A6,KRI!$G$4:$G$10,"Cumple")</f>
        <v>0</v>
      </c>
      <c r="D6" s="11">
        <f>COUNTIFS(KRI!$D$4:$D$10,A6,KRI!$G$4:$G$10,"No cumple")</f>
        <v>0</v>
      </c>
    </row>
    <row r="7" spans="1:4" x14ac:dyDescent="0.25">
      <c r="A7" s="14" t="s">
        <v>42</v>
      </c>
      <c r="B7" s="15">
        <f>SUM(B4:B6)</f>
        <v>7</v>
      </c>
      <c r="C7" s="15">
        <f>SUM(C4:C6)</f>
        <v>0</v>
      </c>
      <c r="D7" s="15">
        <f>SUM(D4:D6)</f>
        <v>0</v>
      </c>
    </row>
    <row r="9" spans="1:4" x14ac:dyDescent="0.25">
      <c r="A9" s="1" t="s">
        <v>43</v>
      </c>
      <c r="B9" s="1"/>
      <c r="C9" s="1"/>
      <c r="D9" s="1"/>
    </row>
  </sheetData>
  <mergeCells count="3">
    <mergeCell ref="A1:D1"/>
    <mergeCell ref="A2:D2"/>
    <mergeCell ref="A9:D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KRI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2026-07-03T18:02:58Z</dcterms:created>
  <dcterms:modified xsi:type="dcterms:W3CDTF">2026-07-03T18:31:26Z</dcterms:modified>
  <dc:language>en-US</dc:language>
</cp:coreProperties>
</file>