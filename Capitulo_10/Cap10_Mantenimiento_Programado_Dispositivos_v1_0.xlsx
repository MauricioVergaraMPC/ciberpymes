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86A7A5FF0BD399CAB6A40219C1DC03510ED049C7" xr6:coauthVersionLast="47" xr6:coauthVersionMax="47" xr10:uidLastSave="{0CF80F85-F5D7-4034-A3CA-48661ABE6BE9}"/>
  <bookViews>
    <workbookView xWindow="31335" yWindow="1185" windowWidth="23310" windowHeight="13425" tabRatio="500" xr2:uid="{00000000-000D-0000-FFFF-FFFF00000000}"/>
  </bookViews>
  <sheets>
    <sheet name="Checklist" sheetId="1" r:id="rId1"/>
    <sheet name="Dashboard" sheetId="2" r:id="rId2"/>
    <sheet name="Instruc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2" l="1"/>
  <c r="E6" i="2"/>
  <c r="D6" i="2"/>
  <c r="C6" i="2"/>
  <c r="B6" i="2"/>
  <c r="F5" i="2"/>
  <c r="E5" i="2"/>
  <c r="D5" i="2"/>
  <c r="C5" i="2"/>
  <c r="B5" i="2"/>
  <c r="F4" i="2"/>
  <c r="F7" i="2" s="1"/>
  <c r="E4" i="2"/>
  <c r="E7" i="2" s="1"/>
  <c r="D4" i="2"/>
  <c r="D7" i="2" s="1"/>
  <c r="C4" i="2"/>
  <c r="C7" i="2" s="1"/>
  <c r="B4" i="2"/>
  <c r="B7" i="2" s="1"/>
  <c r="C24" i="1"/>
</calcChain>
</file>

<file path=xl/sharedStrings.xml><?xml version="1.0" encoding="utf-8"?>
<sst xmlns="http://schemas.openxmlformats.org/spreadsheetml/2006/main" count="83" uniqueCount="51">
  <si>
    <t>CIBERPROTECCIÓN PARA PyMES  ·  Capítulo 10 — Dispositivos</t>
  </si>
  <si>
    <t>Mantenimiento Preventivo de Dispositivos Periféricos</t>
  </si>
  <si>
    <t>Frecuencia</t>
  </si>
  <si>
    <t>N°</t>
  </si>
  <si>
    <t>Tarea de mantenimiento</t>
  </si>
  <si>
    <t>Estado</t>
  </si>
  <si>
    <t>Responsable</t>
  </si>
  <si>
    <t>Fecha de ejecución</t>
  </si>
  <si>
    <t>Observaciones</t>
  </si>
  <si>
    <t>MENSUAL</t>
  </si>
  <si>
    <t>Verificar la disponibilidad de nuevas versiones de firmware para routers, switches y access points, y registrar si aplican según la política de gestión de cambios</t>
  </si>
  <si>
    <t>Pendiente</t>
  </si>
  <si>
    <t>Revisar el estado del almacenamiento de grabaciones de las cámaras de videovigilancia y confirmar que se cumple la retención configurada</t>
  </si>
  <si>
    <t>Verificar que las impresoras y escáneres de red tienen aplicados los últimos parches de seguridad publicados por el fabricante</t>
  </si>
  <si>
    <t>Revisar el estado de las baterías y la autonomía de los UPS asociados a dispositivos periféricos críticos</t>
  </si>
  <si>
    <t>Confirmar que los KRI definidos para el dominio se encuentran dentro de los umbrales establecidos</t>
  </si>
  <si>
    <t>Revisar los registros de acceso de los dispositivos de control de acceso en busca de eventos anómalos</t>
  </si>
  <si>
    <t>Verificar que ningún dispositivo periférico expone protocolos de administración inseguros (Telnet, HTTP sin cifrar) hacia la red interna</t>
  </si>
  <si>
    <t>TRIMESTRAL</t>
  </si>
  <si>
    <t>Ejecutar el guion de mantenimiento programado para routers y switches: verificación de configuración, revisión de logs y reinicio controlado si aplica</t>
  </si>
  <si>
    <t>Ejecutar el guion de mantenimiento programado para access points y telefonía IP: firmware, calidad de señal o de llamada y clientes registrados</t>
  </si>
  <si>
    <t>Ejecutar el guion de mantenimiento programado para impresoras, escáneres y cámaras de videovigilancia: firmware, limpieza física y verificación de grabación continua</t>
  </si>
  <si>
    <t>Verificar el inventario de dispositivos periféricos (CMDB) contra los equipos físicamente presentes y actualizar las discrepancias encontradas</t>
  </si>
  <si>
    <t>Revisar el estado de los certificados digitales utilizados por las interfaces de administración HTTPS de los dispositivos</t>
  </si>
  <si>
    <t>Revisar las cuentas administrativas de los dispositivos y confirmar que no existen accesos no autorizados</t>
  </si>
  <si>
    <t>Ejecutar una prueba de restauración de configuración desde el respaldo vigente en al menos un dispositivo representativo de cada tipo</t>
  </si>
  <si>
    <t>ANUAL</t>
  </si>
  <si>
    <t>Realizar una auditoría completa de la configuración de los dispositivos periféricos contra la Política de Segurización vigente</t>
  </si>
  <si>
    <t>Revisar y actualizar la Política de Segurización de Dispositivos Periféricos y la Política de Segmentación de Red</t>
  </si>
  <si>
    <t>Ejecutar un simulacro de recuperación ante la falla de un dispositivo periférico crítico</t>
  </si>
  <si>
    <t>Evaluar si los dispositivos periféricos actuales requieren renovación por fin de soporte (end-of-life / end-of-support) del fabricante</t>
  </si>
  <si>
    <t>Revisar los contratos de soporte y garantía de los fabricantes y gestionar su renovación si corresponde</t>
  </si>
  <si>
    <t>Ejecutar el mantenimiento físico anual de acondicionadores de aire en salas con equipos de red (limpieza de filtros, verificación de refrigerante)</t>
  </si>
  <si>
    <t>TOTAL TAREAS</t>
  </si>
  <si>
    <t>Dashboard — Estado del Mantenimiento Preventivo</t>
  </si>
  <si>
    <t>Total tareas</t>
  </si>
  <si>
    <t>En progreso</t>
  </si>
  <si>
    <t>Completada</t>
  </si>
  <si>
    <t>No aplica</t>
  </si>
  <si>
    <t>TOTAL GENERAL</t>
  </si>
  <si>
    <t>Nota: cambie el estado de cada tarea en la hoja Checklist. Este dashboard se actualiza automáticamente.</t>
  </si>
  <si>
    <t>Instructivo de uso</t>
  </si>
  <si>
    <t>Campo</t>
  </si>
  <si>
    <t>Descripción</t>
  </si>
  <si>
    <t>Periodicidad recomendada para ejecutar el bloque de tareas: mensual, trimestral o anual.</t>
  </si>
  <si>
    <t>Número secuencial de la tarea dentro de su bloque de frecuencia.</t>
  </si>
  <si>
    <t>Descripción de la actividad a ejecutar sobre los dispositivos periféricos.</t>
  </si>
  <si>
    <t>Seleccione de la lista desplegable: Pendiente, En progreso, Completada o No aplica.</t>
  </si>
  <si>
    <t>Nombre de la persona que ejecuta o es responsable de la tarea.</t>
  </si>
  <si>
    <t>Fecha en la que se realizó o se realizará la tarea.</t>
  </si>
  <si>
    <t>Hallazgos, incidencias o notas relevantes encontradas durante la ejecución.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</si>
</sst>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5F5E5A"/>
      <name val="Calibri"/>
      <charset val="1"/>
    </font>
    <font>
      <sz val="10"/>
      <color rgb="FF000000"/>
      <name val="Calibri"/>
      <charset val="1"/>
    </font>
    <font>
      <b/>
      <sz val="10"/>
      <name val="Calibri"/>
      <charset val="1"/>
    </font>
    <font>
      <i/>
      <sz val="9"/>
      <color rgb="FF5F5E5A"/>
      <name val="Calibri"/>
      <charset val="1"/>
    </font>
    <font>
      <sz val="1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2E6DA4"/>
      </patternFill>
    </fill>
    <fill>
      <patternFill patternType="solid">
        <fgColor rgb="FFFFFFFF"/>
        <bgColor rgb="FFF5F5F2"/>
      </patternFill>
    </fill>
    <fill>
      <patternFill patternType="solid">
        <fgColor rgb="FFF5F5F2"/>
        <bgColor rgb="FFFFFFFF"/>
      </patternFill>
    </fill>
    <fill>
      <patternFill patternType="solid">
        <fgColor rgb="FF2E6DA4"/>
        <bgColor rgb="FF185FA5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3" fillId="2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0" borderId="0" xfId="0" applyFont="1"/>
    <xf numFmtId="0" fontId="3" fillId="3" borderId="0" xfId="0" applyFont="1" applyFill="1"/>
    <xf numFmtId="0" fontId="9" fillId="4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2"/>
      <rgbColor rgb="FFCCFFFF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DA4"/>
      <rgbColor rgb="FF33CCCC"/>
      <rgbColor rgb="FF99CC00"/>
      <rgbColor rgb="FFFFCC00"/>
      <rgbColor rgb="FFFF9900"/>
      <rgbColor rgb="FFFF6600"/>
      <rgbColor rgb="FF5F5E5A"/>
      <rgbColor rgb="FF969696"/>
      <rgbColor rgb="FF0F3F6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Normal="100" workbookViewId="0">
      <pane ySplit="3" topLeftCell="A4" activePane="bottomLeft" state="frozen"/>
      <selection pane="bottomLeft" sqref="A1:G1"/>
    </sheetView>
  </sheetViews>
  <sheetFormatPr baseColWidth="10" defaultColWidth="8.7109375" defaultRowHeight="15" x14ac:dyDescent="0.25"/>
  <cols>
    <col min="1" max="1" width="14" customWidth="1"/>
    <col min="2" max="2" width="4" customWidth="1"/>
    <col min="3" max="3" width="72" customWidth="1"/>
    <col min="4" max="5" width="18" customWidth="1"/>
    <col min="6" max="6" width="14" customWidth="1"/>
    <col min="7" max="7" width="36" customWidth="1"/>
  </cols>
  <sheetData>
    <row r="1" spans="1:7" ht="27.75" customHeight="1" x14ac:dyDescent="0.25">
      <c r="A1" s="6" t="s">
        <v>0</v>
      </c>
      <c r="B1" s="6"/>
      <c r="C1" s="6"/>
      <c r="D1" s="6"/>
      <c r="E1" s="6"/>
      <c r="F1" s="6"/>
      <c r="G1" s="6"/>
    </row>
    <row r="2" spans="1:7" ht="21.75" customHeight="1" x14ac:dyDescent="0.25">
      <c r="A2" s="5" t="s">
        <v>1</v>
      </c>
      <c r="B2" s="5"/>
      <c r="C2" s="5"/>
      <c r="D2" s="5"/>
      <c r="E2" s="5"/>
      <c r="F2" s="5"/>
      <c r="G2" s="5"/>
    </row>
    <row r="3" spans="1:7" ht="21.75" customHeight="1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ht="27.75" customHeight="1" x14ac:dyDescent="0.25">
      <c r="A4" s="4" t="s">
        <v>9</v>
      </c>
      <c r="B4" s="8">
        <v>1</v>
      </c>
      <c r="C4" s="9" t="s">
        <v>10</v>
      </c>
      <c r="D4" s="10" t="s">
        <v>11</v>
      </c>
      <c r="E4" s="11"/>
      <c r="F4" s="11"/>
      <c r="G4" s="11"/>
    </row>
    <row r="5" spans="1:7" ht="27.75" customHeight="1" x14ac:dyDescent="0.25">
      <c r="A5" s="4"/>
      <c r="B5" s="12">
        <v>2</v>
      </c>
      <c r="C5" s="13" t="s">
        <v>12</v>
      </c>
      <c r="D5" s="14" t="s">
        <v>11</v>
      </c>
      <c r="E5" s="15"/>
      <c r="F5" s="15"/>
      <c r="G5" s="15"/>
    </row>
    <row r="6" spans="1:7" ht="27.75" customHeight="1" x14ac:dyDescent="0.25">
      <c r="A6" s="4"/>
      <c r="B6" s="8">
        <v>3</v>
      </c>
      <c r="C6" s="9" t="s">
        <v>13</v>
      </c>
      <c r="D6" s="10" t="s">
        <v>11</v>
      </c>
      <c r="E6" s="11"/>
      <c r="F6" s="11"/>
      <c r="G6" s="11"/>
    </row>
    <row r="7" spans="1:7" ht="27.75" customHeight="1" x14ac:dyDescent="0.25">
      <c r="A7" s="4"/>
      <c r="B7" s="12">
        <v>4</v>
      </c>
      <c r="C7" s="13" t="s">
        <v>14</v>
      </c>
      <c r="D7" s="14" t="s">
        <v>11</v>
      </c>
      <c r="E7" s="15"/>
      <c r="F7" s="15"/>
      <c r="G7" s="15"/>
    </row>
    <row r="8" spans="1:7" ht="27.75" customHeight="1" x14ac:dyDescent="0.25">
      <c r="A8" s="4"/>
      <c r="B8" s="8">
        <v>5</v>
      </c>
      <c r="C8" s="9" t="s">
        <v>15</v>
      </c>
      <c r="D8" s="10" t="s">
        <v>11</v>
      </c>
      <c r="E8" s="11"/>
      <c r="F8" s="11"/>
      <c r="G8" s="11"/>
    </row>
    <row r="9" spans="1:7" ht="27.75" customHeight="1" x14ac:dyDescent="0.25">
      <c r="A9" s="4"/>
      <c r="B9" s="12">
        <v>6</v>
      </c>
      <c r="C9" s="13" t="s">
        <v>16</v>
      </c>
      <c r="D9" s="14" t="s">
        <v>11</v>
      </c>
      <c r="E9" s="15"/>
      <c r="F9" s="15"/>
      <c r="G9" s="15"/>
    </row>
    <row r="10" spans="1:7" ht="27.75" customHeight="1" x14ac:dyDescent="0.25">
      <c r="A10" s="4"/>
      <c r="B10" s="8">
        <v>7</v>
      </c>
      <c r="C10" s="9" t="s">
        <v>17</v>
      </c>
      <c r="D10" s="10" t="s">
        <v>11</v>
      </c>
      <c r="E10" s="11"/>
      <c r="F10" s="11"/>
      <c r="G10" s="11"/>
    </row>
    <row r="11" spans="1:7" ht="27.75" customHeight="1" x14ac:dyDescent="0.25">
      <c r="A11" s="3" t="s">
        <v>18</v>
      </c>
      <c r="B11" s="8">
        <v>1</v>
      </c>
      <c r="C11" s="9" t="s">
        <v>19</v>
      </c>
      <c r="D11" s="10" t="s">
        <v>11</v>
      </c>
      <c r="E11" s="11"/>
      <c r="F11" s="11"/>
      <c r="G11" s="11"/>
    </row>
    <row r="12" spans="1:7" ht="27.75" customHeight="1" x14ac:dyDescent="0.25">
      <c r="A12" s="3"/>
      <c r="B12" s="12">
        <v>2</v>
      </c>
      <c r="C12" s="13" t="s">
        <v>20</v>
      </c>
      <c r="D12" s="14" t="s">
        <v>11</v>
      </c>
      <c r="E12" s="15"/>
      <c r="F12" s="15"/>
      <c r="G12" s="15"/>
    </row>
    <row r="13" spans="1:7" ht="27.75" customHeight="1" x14ac:dyDescent="0.25">
      <c r="A13" s="3"/>
      <c r="B13" s="8">
        <v>3</v>
      </c>
      <c r="C13" s="9" t="s">
        <v>21</v>
      </c>
      <c r="D13" s="10" t="s">
        <v>11</v>
      </c>
      <c r="E13" s="11"/>
      <c r="F13" s="11"/>
      <c r="G13" s="11"/>
    </row>
    <row r="14" spans="1:7" ht="27.75" customHeight="1" x14ac:dyDescent="0.25">
      <c r="A14" s="3"/>
      <c r="B14" s="12">
        <v>4</v>
      </c>
      <c r="C14" s="13" t="s">
        <v>22</v>
      </c>
      <c r="D14" s="14" t="s">
        <v>11</v>
      </c>
      <c r="E14" s="15"/>
      <c r="F14" s="15"/>
      <c r="G14" s="15"/>
    </row>
    <row r="15" spans="1:7" ht="27.75" customHeight="1" x14ac:dyDescent="0.25">
      <c r="A15" s="3"/>
      <c r="B15" s="8">
        <v>5</v>
      </c>
      <c r="C15" s="9" t="s">
        <v>23</v>
      </c>
      <c r="D15" s="10" t="s">
        <v>11</v>
      </c>
      <c r="E15" s="11"/>
      <c r="F15" s="11"/>
      <c r="G15" s="11"/>
    </row>
    <row r="16" spans="1:7" ht="27.75" customHeight="1" x14ac:dyDescent="0.25">
      <c r="A16" s="3"/>
      <c r="B16" s="12">
        <v>6</v>
      </c>
      <c r="C16" s="13" t="s">
        <v>24</v>
      </c>
      <c r="D16" s="14" t="s">
        <v>11</v>
      </c>
      <c r="E16" s="15"/>
      <c r="F16" s="15"/>
      <c r="G16" s="15"/>
    </row>
    <row r="17" spans="1:7" ht="27.75" customHeight="1" x14ac:dyDescent="0.25">
      <c r="A17" s="3"/>
      <c r="B17" s="8">
        <v>7</v>
      </c>
      <c r="C17" s="9" t="s">
        <v>25</v>
      </c>
      <c r="D17" s="10" t="s">
        <v>11</v>
      </c>
      <c r="E17" s="11"/>
      <c r="F17" s="11"/>
      <c r="G17" s="11"/>
    </row>
    <row r="18" spans="1:7" ht="27.75" customHeight="1" x14ac:dyDescent="0.25">
      <c r="A18" s="4" t="s">
        <v>26</v>
      </c>
      <c r="B18" s="8">
        <v>1</v>
      </c>
      <c r="C18" s="9" t="s">
        <v>27</v>
      </c>
      <c r="D18" s="10" t="s">
        <v>11</v>
      </c>
      <c r="E18" s="11"/>
      <c r="F18" s="11"/>
      <c r="G18" s="11"/>
    </row>
    <row r="19" spans="1:7" ht="27.75" customHeight="1" x14ac:dyDescent="0.25">
      <c r="A19" s="4"/>
      <c r="B19" s="12">
        <v>2</v>
      </c>
      <c r="C19" s="13" t="s">
        <v>28</v>
      </c>
      <c r="D19" s="14" t="s">
        <v>11</v>
      </c>
      <c r="E19" s="15"/>
      <c r="F19" s="15"/>
      <c r="G19" s="15"/>
    </row>
    <row r="20" spans="1:7" ht="27.75" customHeight="1" x14ac:dyDescent="0.25">
      <c r="A20" s="4"/>
      <c r="B20" s="8">
        <v>3</v>
      </c>
      <c r="C20" s="9" t="s">
        <v>29</v>
      </c>
      <c r="D20" s="10" t="s">
        <v>11</v>
      </c>
      <c r="E20" s="11"/>
      <c r="F20" s="11"/>
      <c r="G20" s="11"/>
    </row>
    <row r="21" spans="1:7" ht="27.75" customHeight="1" x14ac:dyDescent="0.25">
      <c r="A21" s="4"/>
      <c r="B21" s="12">
        <v>4</v>
      </c>
      <c r="C21" s="13" t="s">
        <v>30</v>
      </c>
      <c r="D21" s="14" t="s">
        <v>11</v>
      </c>
      <c r="E21" s="15"/>
      <c r="F21" s="15"/>
      <c r="G21" s="15"/>
    </row>
    <row r="22" spans="1:7" ht="27.75" customHeight="1" x14ac:dyDescent="0.25">
      <c r="A22" s="4"/>
      <c r="B22" s="8">
        <v>5</v>
      </c>
      <c r="C22" s="9" t="s">
        <v>31</v>
      </c>
      <c r="D22" s="10" t="s">
        <v>11</v>
      </c>
      <c r="E22" s="11"/>
      <c r="F22" s="11"/>
      <c r="G22" s="11"/>
    </row>
    <row r="23" spans="1:7" ht="27.75" customHeight="1" x14ac:dyDescent="0.25">
      <c r="A23" s="4"/>
      <c r="B23" s="12">
        <v>6</v>
      </c>
      <c r="C23" s="13" t="s">
        <v>32</v>
      </c>
      <c r="D23" s="14" t="s">
        <v>11</v>
      </c>
      <c r="E23" s="15"/>
      <c r="F23" s="15"/>
      <c r="G23" s="15"/>
    </row>
    <row r="24" spans="1:7" ht="21.75" customHeight="1" x14ac:dyDescent="0.25">
      <c r="A24" s="2" t="s">
        <v>33</v>
      </c>
      <c r="B24" s="2"/>
      <c r="C24" s="16">
        <f>COUNTA(C4:C23)</f>
        <v>20</v>
      </c>
      <c r="D24" s="17"/>
      <c r="E24" s="17"/>
      <c r="F24" s="17"/>
      <c r="G24" s="17"/>
    </row>
  </sheetData>
  <mergeCells count="6">
    <mergeCell ref="A24:B24"/>
    <mergeCell ref="A1:G1"/>
    <mergeCell ref="A2:G2"/>
    <mergeCell ref="A4:A10"/>
    <mergeCell ref="A11:A17"/>
    <mergeCell ref="A18:A23"/>
  </mergeCells>
  <dataValidations count="1">
    <dataValidation type="list" allowBlank="1" sqref="D4:D23" xr:uid="{00000000-0002-0000-0000-000000000000}">
      <formula1>"Pendiente,En progreso,Completada,No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/>
  </sheetViews>
  <sheetFormatPr baseColWidth="10" defaultColWidth="8.7109375" defaultRowHeight="15" x14ac:dyDescent="0.25"/>
  <cols>
    <col min="1" max="1" width="16" customWidth="1"/>
    <col min="2" max="6" width="14" customWidth="1"/>
  </cols>
  <sheetData>
    <row r="1" spans="1:6" ht="27.75" customHeight="1" x14ac:dyDescent="0.25">
      <c r="A1" s="6" t="s">
        <v>0</v>
      </c>
      <c r="B1" s="6"/>
      <c r="C1" s="6"/>
      <c r="D1" s="6"/>
      <c r="E1" s="6"/>
      <c r="F1" s="6"/>
    </row>
    <row r="2" spans="1:6" ht="21.75" customHeight="1" x14ac:dyDescent="0.25">
      <c r="A2" s="5" t="s">
        <v>34</v>
      </c>
      <c r="B2" s="5"/>
      <c r="C2" s="5"/>
      <c r="D2" s="5"/>
      <c r="E2" s="5"/>
      <c r="F2" s="5"/>
    </row>
    <row r="3" spans="1:6" ht="21.75" customHeight="1" x14ac:dyDescent="0.25">
      <c r="A3" s="7" t="s">
        <v>2</v>
      </c>
      <c r="B3" s="7" t="s">
        <v>35</v>
      </c>
      <c r="C3" s="7" t="s">
        <v>11</v>
      </c>
      <c r="D3" s="7" t="s">
        <v>36</v>
      </c>
      <c r="E3" s="7" t="s">
        <v>37</v>
      </c>
      <c r="F3" s="7" t="s">
        <v>38</v>
      </c>
    </row>
    <row r="4" spans="1:6" x14ac:dyDescent="0.25">
      <c r="A4" s="18" t="s">
        <v>9</v>
      </c>
      <c r="B4" s="19">
        <f>COUNTA(Checklist!C4:C10)</f>
        <v>7</v>
      </c>
      <c r="C4" s="19">
        <f>COUNTIF(Checklist!D4:D10,"Pendiente")</f>
        <v>7</v>
      </c>
      <c r="D4" s="19">
        <f>COUNTIF(Checklist!D4:D10,"En progreso")</f>
        <v>0</v>
      </c>
      <c r="E4" s="19">
        <f>COUNTIF(Checklist!D4:D10,"Completada")</f>
        <v>0</v>
      </c>
      <c r="F4" s="19">
        <f>COUNTIF(Checklist!D4:D10,"No aplica")</f>
        <v>0</v>
      </c>
    </row>
    <row r="5" spans="1:6" x14ac:dyDescent="0.25">
      <c r="A5" s="18" t="s">
        <v>18</v>
      </c>
      <c r="B5" s="19">
        <f>COUNTA(Checklist!C11:C17)</f>
        <v>7</v>
      </c>
      <c r="C5" s="19">
        <f>COUNTIF(Checklist!D11:D17,"Pendiente")</f>
        <v>7</v>
      </c>
      <c r="D5" s="19">
        <f>COUNTIF(Checklist!D11:D17,"En progreso")</f>
        <v>0</v>
      </c>
      <c r="E5" s="19">
        <f>COUNTIF(Checklist!D11:D17,"Completada")</f>
        <v>0</v>
      </c>
      <c r="F5" s="19">
        <f>COUNTIF(Checklist!D11:D17,"No aplica")</f>
        <v>0</v>
      </c>
    </row>
    <row r="6" spans="1:6" x14ac:dyDescent="0.25">
      <c r="A6" s="18" t="s">
        <v>26</v>
      </c>
      <c r="B6" s="19">
        <f>COUNTA(Checklist!C18:C23)</f>
        <v>6</v>
      </c>
      <c r="C6" s="19">
        <f>COUNTIF(Checklist!D18:D23,"Pendiente")</f>
        <v>6</v>
      </c>
      <c r="D6" s="19">
        <f>COUNTIF(Checklist!D18:D23,"En progreso")</f>
        <v>0</v>
      </c>
      <c r="E6" s="19">
        <f>COUNTIF(Checklist!D18:D23,"Completada")</f>
        <v>0</v>
      </c>
      <c r="F6" s="19">
        <f>COUNTIF(Checklist!D18:D23,"No aplica")</f>
        <v>0</v>
      </c>
    </row>
    <row r="7" spans="1:6" x14ac:dyDescent="0.25">
      <c r="A7" s="20" t="s">
        <v>39</v>
      </c>
      <c r="B7" s="20">
        <f>SUM(B4:B6)</f>
        <v>20</v>
      </c>
      <c r="C7" s="20">
        <f>SUM(C4:C6)</f>
        <v>20</v>
      </c>
      <c r="D7" s="20">
        <f>SUM(D4:D6)</f>
        <v>0</v>
      </c>
      <c r="E7" s="20">
        <f>SUM(E4:E6)</f>
        <v>0</v>
      </c>
      <c r="F7" s="20">
        <f>SUM(F4:F6)</f>
        <v>0</v>
      </c>
    </row>
    <row r="9" spans="1:6" x14ac:dyDescent="0.25">
      <c r="A9" s="21" t="s">
        <v>40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/>
  </sheetViews>
  <sheetFormatPr baseColWidth="10" defaultColWidth="8.7109375" defaultRowHeight="15" x14ac:dyDescent="0.25"/>
  <cols>
    <col min="1" max="1" width="22" customWidth="1"/>
    <col min="2" max="2" width="80" customWidth="1"/>
  </cols>
  <sheetData>
    <row r="1" spans="1:2" ht="24" customHeight="1" x14ac:dyDescent="0.3">
      <c r="A1" s="1" t="s">
        <v>41</v>
      </c>
      <c r="B1" s="1"/>
    </row>
    <row r="2" spans="1:2" x14ac:dyDescent="0.25">
      <c r="A2" s="22" t="s">
        <v>42</v>
      </c>
      <c r="B2" s="22" t="s">
        <v>43</v>
      </c>
    </row>
    <row r="3" spans="1:2" x14ac:dyDescent="0.25">
      <c r="A3" s="23" t="s">
        <v>2</v>
      </c>
      <c r="B3" s="23" t="s">
        <v>44</v>
      </c>
    </row>
    <row r="4" spans="1:2" x14ac:dyDescent="0.25">
      <c r="A4" s="24" t="s">
        <v>3</v>
      </c>
      <c r="B4" s="24" t="s">
        <v>45</v>
      </c>
    </row>
    <row r="5" spans="1:2" x14ac:dyDescent="0.25">
      <c r="A5" s="23" t="s">
        <v>4</v>
      </c>
      <c r="B5" s="23" t="s">
        <v>46</v>
      </c>
    </row>
    <row r="6" spans="1:2" x14ac:dyDescent="0.25">
      <c r="A6" s="24" t="s">
        <v>5</v>
      </c>
      <c r="B6" s="24" t="s">
        <v>47</v>
      </c>
    </row>
    <row r="7" spans="1:2" x14ac:dyDescent="0.25">
      <c r="A7" s="23" t="s">
        <v>6</v>
      </c>
      <c r="B7" s="23" t="s">
        <v>48</v>
      </c>
    </row>
    <row r="8" spans="1:2" x14ac:dyDescent="0.25">
      <c r="A8" s="24" t="s">
        <v>7</v>
      </c>
      <c r="B8" s="24" t="s">
        <v>49</v>
      </c>
    </row>
    <row r="9" spans="1:2" x14ac:dyDescent="0.25">
      <c r="A9" s="23" t="s">
        <v>8</v>
      </c>
      <c r="B9" s="23" t="s">
        <v>50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Checklist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2026-09-14T23:34:00Z</dcterms:created>
  <dcterms:modified xsi:type="dcterms:W3CDTF">2026-09-15T00:11:02Z</dcterms:modified>
  <dc:language>en-US</dc:language>
</cp:coreProperties>
</file>