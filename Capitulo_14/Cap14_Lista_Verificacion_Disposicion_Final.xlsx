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EF538DBD41EEF6FE51A37482064C7DABAAA159AF" xr6:coauthVersionLast="47" xr6:coauthVersionMax="47" xr10:uidLastSave="{5D636E50-D030-45D8-B2CC-B5D73BB9BF38}"/>
  <bookViews>
    <workbookView xWindow="31395" yWindow="1275" windowWidth="21600" windowHeight="11505" tabRatio="500" xr2:uid="{00000000-000D-0000-FFFF-FFFF00000000}"/>
  </bookViews>
  <sheets>
    <sheet name="Checklist" sheetId="1" r:id="rId1"/>
    <sheet name="Dashboard" sheetId="2" r:id="rId2"/>
    <sheet name="Instructivo" sheetId="3" r:id="rId3"/>
  </sheets>
  <definedNames>
    <definedName name="_xlnm._FilterDatabase" localSheetId="0" hidden="1">Checklist!$A$3:$H$42</definedName>
    <definedName name="_xlnm.Print_Titles" localSheetId="0">Checklist!$1:$3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2" l="1"/>
  <c r="E9" i="2"/>
  <c r="G9" i="2" s="1"/>
  <c r="D9" i="2"/>
  <c r="C9" i="2"/>
  <c r="B9" i="2"/>
  <c r="F8" i="2"/>
  <c r="E8" i="2"/>
  <c r="G8" i="2" s="1"/>
  <c r="D8" i="2"/>
  <c r="C8" i="2"/>
  <c r="B8" i="2"/>
  <c r="F7" i="2"/>
  <c r="E7" i="2"/>
  <c r="G7" i="2" s="1"/>
  <c r="D7" i="2"/>
  <c r="C7" i="2"/>
  <c r="B7" i="2"/>
  <c r="F6" i="2"/>
  <c r="E6" i="2"/>
  <c r="G6" i="2" s="1"/>
  <c r="D6" i="2"/>
  <c r="C6" i="2"/>
  <c r="B6" i="2"/>
  <c r="G5" i="2"/>
  <c r="F5" i="2"/>
  <c r="E5" i="2"/>
  <c r="D5" i="2"/>
  <c r="C5" i="2"/>
  <c r="B5" i="2"/>
  <c r="F4" i="2"/>
  <c r="F10" i="2" s="1"/>
  <c r="E4" i="2"/>
  <c r="D4" i="2"/>
  <c r="D10" i="2" s="1"/>
  <c r="C4" i="2"/>
  <c r="C10" i="2" s="1"/>
  <c r="B4" i="2"/>
  <c r="B10" i="2" s="1"/>
  <c r="E10" i="2" l="1"/>
  <c r="G10" i="2" s="1"/>
  <c r="G4" i="2"/>
</calcChain>
</file>

<file path=xl/sharedStrings.xml><?xml version="1.0" encoding="utf-8"?>
<sst xmlns="http://schemas.openxmlformats.org/spreadsheetml/2006/main" count="155" uniqueCount="92">
  <si>
    <t>CIBERPROTECCIÓN PARA PyMES  ·  Capítulo 14 — Disposición Final</t>
  </si>
  <si>
    <t>Lista de Verificación de Despliegue — Disposición Final</t>
  </si>
  <si>
    <t>Función</t>
  </si>
  <si>
    <t>N°</t>
  </si>
  <si>
    <t>Actividad</t>
  </si>
  <si>
    <t>Plantilla</t>
  </si>
  <si>
    <t>Estado</t>
  </si>
  <si>
    <t>Responsable</t>
  </si>
  <si>
    <t>Fecha</t>
  </si>
  <si>
    <t>Observaciones</t>
  </si>
  <si>
    <t>GOBERNANZA</t>
  </si>
  <si>
    <t>Establecer y aprobar la Política de Disposición Final de Activos Tecnológicos</t>
  </si>
  <si>
    <t>14.1</t>
  </si>
  <si>
    <t>Pendiente</t>
  </si>
  <si>
    <t>Definir los roles de autorización, ejecución y verificación, asignados a personas distintas</t>
  </si>
  <si>
    <t>Acreditar a los proveedores de destrucción y borrado seguro (NAID AAA, R2 o e-Stewards)</t>
  </si>
  <si>
    <t>14.2</t>
  </si>
  <si>
    <t>Mantener actualizado el listado de proveedores autorizados</t>
  </si>
  <si>
    <t>IDENTIFICACIÓN</t>
  </si>
  <si>
    <t>Levantar el inventario de dispositivos pendientes de baja (estado, ubicación y condición)</t>
  </si>
  <si>
    <t>14.3</t>
  </si>
  <si>
    <t>Clasificar cada dispositivo según la sensibilidad de la información que contenía (alta, media o baja)</t>
  </si>
  <si>
    <t>Actualizar el estado del activo en el inventario corporativo a «inactivo» o «retirado»</t>
  </si>
  <si>
    <t>PROTECCIÓN</t>
  </si>
  <si>
    <t>Preparar la desvinculación: sistemas registrados, respaldo o migración de datos y claves de recuperación del cifrado</t>
  </si>
  <si>
    <t>14.4</t>
  </si>
  <si>
    <t>Desvincular el dispositivo del directorio corporativo y de las políticas de acceso condicional</t>
  </si>
  <si>
    <t>Revocar certificados digitales, métodos MFA y tokens de sesión asociados al dispositivo</t>
  </si>
  <si>
    <t>Cerrar las sesiones activas y liberar las licencias de software asignadas</t>
  </si>
  <si>
    <t>Retirar el dispositivo de las consolas UEM, EDR, respaldo y gestión de parches</t>
  </si>
  <si>
    <t>Eliminar el dispositivo de los servicios de aprovisionamiento automático y desactivar el bloqueo de activación</t>
  </si>
  <si>
    <t>Retirar el dispositivo de la red (ACL, reservas DHCP, NAC) y evaluar la rotación de claves inalámbricas</t>
  </si>
  <si>
    <t>Verificar la ausencia de actividad posterior a la desvinculación y autorizar por escrito el paso al borrado</t>
  </si>
  <si>
    <t>Seleccionar el método de borrado según el tipo de medio y la sensibilidad (NIST SP 800-88)</t>
  </si>
  <si>
    <t>Ejecutar el borrado seguro de equipos de escritorio y portátiles (sobrescritura en HDD, comando de borrado en SSD)</t>
  </si>
  <si>
    <t>Procesar de forma individual cada disco de los servidores físicos, incluidos RAID y discos de arranque</t>
  </si>
  <si>
    <t>Restablecer los dispositivos móviles y procesar por separado la tarjeta de memoria externa</t>
  </si>
  <si>
    <t>Procesar las unidades de almacenamiento independientes: discos externos, memorias USB, tarjetas y cintas</t>
  </si>
  <si>
    <t>Destruir físicamente, mediante proveedor certificado, los medios de sensibilidad alta, dañados o no verificables</t>
  </si>
  <si>
    <t>Gestionar la baja de servicios cloud y solicitar confirmación escrita de la eliminación definitiva</t>
  </si>
  <si>
    <t>Completar el registro del dispositivo con la fecha de ejecución y el número de certificado</t>
  </si>
  <si>
    <t>Obtener el certificado individual de borrado o destrucción por número de serie</t>
  </si>
  <si>
    <t>14.5</t>
  </si>
  <si>
    <t>Formalizar la entrega al proveedor con acta y cadena de custodia</t>
  </si>
  <si>
    <t>14.6</t>
  </si>
  <si>
    <t>Conservar la documentación durante al menos cinco años o el plazo que exija la normativa local</t>
  </si>
  <si>
    <t>DETECCIÓN</t>
  </si>
  <si>
    <t>Auditar periódicamente el cruce entre inventario de activos, registro de bajas e inventario físico de bodega</t>
  </si>
  <si>
    <t>Investigar las discrepancias y los dispositivos en situación de baja informal</t>
  </si>
  <si>
    <t>Verificar la autenticidad de los certificados y la certificación vigente del proveedor</t>
  </si>
  <si>
    <t>Contrastar los números de serie de certificados y registros de borrado con el inventario de activos</t>
  </si>
  <si>
    <t>Verificar que ningún dispositivo dado de baja aparezca en la red o en las consolas de gestión remota</t>
  </si>
  <si>
    <t>RESPUESTA</t>
  </si>
  <si>
    <t>Determinar la sensibilidad de la información del dispositivo afectado y escalar a la dirección cuando corresponda</t>
  </si>
  <si>
    <t>Intentar recuperar el control del dispositivo ante el proveedor o el receptor</t>
  </si>
  <si>
    <t>Documentar el incidente, iniciar el análisis de causa raíz y definir medidas correctivas</t>
  </si>
  <si>
    <t>RECUPERACIÓN</t>
  </si>
  <si>
    <t>Evaluar el alcance de la exposición: información, probabilidad de acceso, impacto y acciones de mitigación</t>
  </si>
  <si>
    <t>Notificar a los afectados y reportar a la autoridad de protección de datos cuando la legislación lo exija</t>
  </si>
  <si>
    <t>Evaluar la contratación de servicios de monitoreo de identidad para los afectados</t>
  </si>
  <si>
    <t>Revisar y fortalecer los controles de cada etapa del proceso de disposición final</t>
  </si>
  <si>
    <t>Incorporar el escenario de disposición inadecuada al plan de respuesta a incidentes</t>
  </si>
  <si>
    <t>PLANTILLAS DISPONIBLES: https://github.com/MauricioVergaraMPC/ciberpymes/tree/main/Capitulo_14</t>
  </si>
  <si>
    <t>Dashboard — Estado del Despliegue de Disposición Final</t>
  </si>
  <si>
    <t>Total</t>
  </si>
  <si>
    <t>En proceso</t>
  </si>
  <si>
    <t>Completado</t>
  </si>
  <si>
    <t>No aplica</t>
  </si>
  <si>
    <t>% Avance</t>
  </si>
  <si>
    <t>Gobernanza</t>
  </si>
  <si>
    <t>Identificación</t>
  </si>
  <si>
    <t>Protección</t>
  </si>
  <si>
    <t>Detección</t>
  </si>
  <si>
    <t>Respuesta</t>
  </si>
  <si>
    <t>Recuperación</t>
  </si>
  <si>
    <t>TOTAL</t>
  </si>
  <si>
    <t>% Avance = Completado / (Total − No aplica)</t>
  </si>
  <si>
    <t>Instructivo de uso</t>
  </si>
  <si>
    <t>Campo</t>
  </si>
  <si>
    <t>Descripción</t>
  </si>
  <si>
    <t>Función del NIST CSF 2.0 a la que pertenece la actividad. Se indica en la primera fila de cada bloque.</t>
  </si>
  <si>
    <t>Número secuencial de la actividad dentro de la lista.</t>
  </si>
  <si>
    <t>Control o tarea a ejecutar, según lo descrito en el Capítulo 14 — Disposición Final.</t>
  </si>
  <si>
    <t>Número de la plantilla del capítulo que apoya la actividad, disponible en el repositorio del libro.</t>
  </si>
  <si>
    <t>Seleccione en la lista desplegable: Pendiente, En proceso, Completado o No aplica. Use No aplica cuando la actividad no corresponda al entorno de la organización (por ejemplo, si no existen servidores físicos o servicios cloud).</t>
  </si>
  <si>
    <t>Nombre o cargo de la persona encargada. Las actividades de autorización, ejecución y verificación deben recaer en personas distintas.</t>
  </si>
  <si>
    <t>Fecha de ejecución o fecha objetivo. Formato DD/MM/AAAA.</t>
  </si>
  <si>
    <t>Número de certificado, número de serie, ticket, proveedor u otra información relevante.</t>
  </si>
  <si>
    <t>Dashboard</t>
  </si>
  <si>
    <t>Resume automáticamente el estado de las actividades por función y el porcentaje de avance. No requiere edición.</t>
  </si>
  <si>
    <t>Repositorio</t>
  </si>
  <si>
    <t>https://github.com/MauricioVergaraMPC/ciberpymes/tree/main/Capitulo_14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</si>
</sst>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555555"/>
      <name val="Calibri"/>
      <charset val="1"/>
    </font>
    <font>
      <sz val="10"/>
      <name val="Calibri"/>
      <charset val="1"/>
    </font>
    <font>
      <i/>
      <sz val="9"/>
      <color rgb="FF185FA5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3B6D11"/>
      <name val="Calibri"/>
      <charset val="1"/>
    </font>
    <font>
      <sz val="10"/>
      <color rgb="FF777777"/>
      <name val="Calibri"/>
      <charset val="1"/>
    </font>
    <font>
      <i/>
      <sz val="9"/>
      <color rgb="FF5F5E5A"/>
      <name val="Calibri"/>
      <charset val="1"/>
    </font>
    <font>
      <b/>
      <sz val="10"/>
      <name val="Calibri"/>
      <charset val="1"/>
    </font>
    <font>
      <sz val="10"/>
      <color rgb="FF0000F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D3D1C7"/>
      </patternFill>
    </fill>
    <fill>
      <patternFill patternType="solid">
        <fgColor rgb="FF2E6DA4"/>
        <bgColor rgb="FF185FA5"/>
      </patternFill>
    </fill>
    <fill>
      <patternFill patternType="solid">
        <fgColor rgb="FFBA7517"/>
        <bgColor rgb="FFFF6600"/>
      </patternFill>
    </fill>
    <fill>
      <patternFill patternType="solid">
        <fgColor rgb="FFA32D2D"/>
        <bgColor rgb="FF993366"/>
      </patternFill>
    </fill>
    <fill>
      <patternFill patternType="solid">
        <fgColor rgb="FF3B6D11"/>
        <bgColor rgb="FF555555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0" borderId="0" xfId="0" applyFont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9" fontId="9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5" borderId="1" xfId="0" applyFont="1" applyFill="1" applyBorder="1" applyAlignment="1">
      <alignment vertical="top" wrapText="1" indent="1"/>
    </xf>
    <xf numFmtId="0" fontId="6" fillId="5" borderId="1" xfId="0" applyFont="1" applyFill="1" applyBorder="1" applyAlignment="1">
      <alignment vertical="top" wrapText="1" indent="1"/>
    </xf>
    <xf numFmtId="0" fontId="13" fillId="4" borderId="1" xfId="0" applyFont="1" applyFill="1" applyBorder="1" applyAlignment="1">
      <alignment vertical="top" wrapText="1" indent="1"/>
    </xf>
    <xf numFmtId="0" fontId="6" fillId="4" borderId="1" xfId="0" applyFont="1" applyFill="1" applyBorder="1" applyAlignment="1">
      <alignment vertical="top" wrapText="1" indent="1"/>
    </xf>
    <xf numFmtId="0" fontId="14" fillId="4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777777"/>
      <rgbColor rgb="FF9999FF"/>
      <rgbColor rgb="FF993366"/>
      <rgbColor rgb="FFFFFFCC"/>
      <rgbColor rgb="FFCCFFFF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A4"/>
      <rgbColor rgb="FF33CCCC"/>
      <rgbColor rgb="FF99CC00"/>
      <rgbColor rgb="FFFFCC00"/>
      <rgbColor rgb="FFFF9900"/>
      <rgbColor rgb="FFFF6600"/>
      <rgbColor rgb="FF5F5E5A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uricioVergaraMPC/ciberpymes/tree/main/Capitulo_1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uricioVergaraMPC/ciberpymes/tree/main/Capitulo_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showGridLines="0" tabSelected="1" zoomScaleNormal="100" workbookViewId="0">
      <pane ySplit="3" topLeftCell="A4" activePane="bottomLeft" state="frozen"/>
      <selection pane="bottomLeft" sqref="A1:H1"/>
    </sheetView>
  </sheetViews>
  <sheetFormatPr baseColWidth="10" defaultColWidth="8.7109375" defaultRowHeight="15" x14ac:dyDescent="0.25"/>
  <cols>
    <col min="1" max="1" width="16" customWidth="1"/>
    <col min="2" max="2" width="5" customWidth="1"/>
    <col min="3" max="3" width="70" customWidth="1"/>
    <col min="4" max="4" width="10" customWidth="1"/>
    <col min="5" max="5" width="14" customWidth="1"/>
    <col min="6" max="6" width="20" customWidth="1"/>
    <col min="7" max="7" width="13" customWidth="1"/>
    <col min="8" max="8" width="36" customWidth="1"/>
  </cols>
  <sheetData>
    <row r="1" spans="1:8" ht="24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ht="19.5" customHeigh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21.7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30" customHeight="1" x14ac:dyDescent="0.25">
      <c r="A4" s="5" t="s">
        <v>10</v>
      </c>
      <c r="B4" s="6">
        <v>1</v>
      </c>
      <c r="C4" s="7" t="s">
        <v>11</v>
      </c>
      <c r="D4" s="8" t="s">
        <v>12</v>
      </c>
      <c r="E4" s="8" t="s">
        <v>13</v>
      </c>
      <c r="F4" s="7"/>
      <c r="G4" s="9"/>
      <c r="H4" s="7"/>
    </row>
    <row r="5" spans="1:8" ht="30" customHeight="1" x14ac:dyDescent="0.25">
      <c r="A5" s="10"/>
      <c r="B5" s="11">
        <v>2</v>
      </c>
      <c r="C5" s="10" t="s">
        <v>14</v>
      </c>
      <c r="D5" s="12"/>
      <c r="E5" s="12" t="s">
        <v>13</v>
      </c>
      <c r="F5" s="10"/>
      <c r="G5" s="13"/>
      <c r="H5" s="10"/>
    </row>
    <row r="6" spans="1:8" ht="30" customHeight="1" x14ac:dyDescent="0.25">
      <c r="A6" s="7"/>
      <c r="B6" s="6">
        <v>3</v>
      </c>
      <c r="C6" s="7" t="s">
        <v>15</v>
      </c>
      <c r="D6" s="8" t="s">
        <v>16</v>
      </c>
      <c r="E6" s="8" t="s">
        <v>13</v>
      </c>
      <c r="F6" s="7"/>
      <c r="G6" s="9"/>
      <c r="H6" s="7"/>
    </row>
    <row r="7" spans="1:8" ht="30" customHeight="1" x14ac:dyDescent="0.25">
      <c r="A7" s="10"/>
      <c r="B7" s="11">
        <v>4</v>
      </c>
      <c r="C7" s="10" t="s">
        <v>17</v>
      </c>
      <c r="D7" s="12" t="s">
        <v>16</v>
      </c>
      <c r="E7" s="12" t="s">
        <v>13</v>
      </c>
      <c r="F7" s="10"/>
      <c r="G7" s="13"/>
      <c r="H7" s="10"/>
    </row>
    <row r="8" spans="1:8" ht="30" customHeight="1" x14ac:dyDescent="0.25">
      <c r="A8" s="14" t="s">
        <v>18</v>
      </c>
      <c r="B8" s="6">
        <v>5</v>
      </c>
      <c r="C8" s="7" t="s">
        <v>19</v>
      </c>
      <c r="D8" s="8" t="s">
        <v>20</v>
      </c>
      <c r="E8" s="8" t="s">
        <v>13</v>
      </c>
      <c r="F8" s="7"/>
      <c r="G8" s="9"/>
      <c r="H8" s="7"/>
    </row>
    <row r="9" spans="1:8" ht="30" customHeight="1" x14ac:dyDescent="0.25">
      <c r="A9" s="10"/>
      <c r="B9" s="11">
        <v>6</v>
      </c>
      <c r="C9" s="10" t="s">
        <v>21</v>
      </c>
      <c r="D9" s="12" t="s">
        <v>20</v>
      </c>
      <c r="E9" s="12" t="s">
        <v>13</v>
      </c>
      <c r="F9" s="10"/>
      <c r="G9" s="13"/>
      <c r="H9" s="10"/>
    </row>
    <row r="10" spans="1:8" ht="30" customHeight="1" x14ac:dyDescent="0.25">
      <c r="A10" s="7"/>
      <c r="B10" s="6">
        <v>7</v>
      </c>
      <c r="C10" s="7" t="s">
        <v>22</v>
      </c>
      <c r="D10" s="8"/>
      <c r="E10" s="8" t="s">
        <v>13</v>
      </c>
      <c r="F10" s="7"/>
      <c r="G10" s="9"/>
      <c r="H10" s="7"/>
    </row>
    <row r="11" spans="1:8" ht="30" customHeight="1" x14ac:dyDescent="0.25">
      <c r="A11" s="15" t="s">
        <v>23</v>
      </c>
      <c r="B11" s="11">
        <v>8</v>
      </c>
      <c r="C11" s="10" t="s">
        <v>24</v>
      </c>
      <c r="D11" s="12" t="s">
        <v>25</v>
      </c>
      <c r="E11" s="12" t="s">
        <v>13</v>
      </c>
      <c r="F11" s="10"/>
      <c r="G11" s="13"/>
      <c r="H11" s="10"/>
    </row>
    <row r="12" spans="1:8" ht="30" customHeight="1" x14ac:dyDescent="0.25">
      <c r="A12" s="7"/>
      <c r="B12" s="6">
        <v>9</v>
      </c>
      <c r="C12" s="7" t="s">
        <v>26</v>
      </c>
      <c r="D12" s="8" t="s">
        <v>25</v>
      </c>
      <c r="E12" s="8" t="s">
        <v>13</v>
      </c>
      <c r="F12" s="7"/>
      <c r="G12" s="9"/>
      <c r="H12" s="7"/>
    </row>
    <row r="13" spans="1:8" ht="30" customHeight="1" x14ac:dyDescent="0.25">
      <c r="A13" s="10"/>
      <c r="B13" s="11">
        <v>10</v>
      </c>
      <c r="C13" s="10" t="s">
        <v>27</v>
      </c>
      <c r="D13" s="12" t="s">
        <v>25</v>
      </c>
      <c r="E13" s="12" t="s">
        <v>13</v>
      </c>
      <c r="F13" s="10"/>
      <c r="G13" s="13"/>
      <c r="H13" s="10"/>
    </row>
    <row r="14" spans="1:8" ht="30" customHeight="1" x14ac:dyDescent="0.25">
      <c r="A14" s="7"/>
      <c r="B14" s="6">
        <v>11</v>
      </c>
      <c r="C14" s="7" t="s">
        <v>28</v>
      </c>
      <c r="D14" s="8" t="s">
        <v>25</v>
      </c>
      <c r="E14" s="8" t="s">
        <v>13</v>
      </c>
      <c r="F14" s="7"/>
      <c r="G14" s="9"/>
      <c r="H14" s="7"/>
    </row>
    <row r="15" spans="1:8" ht="30" customHeight="1" x14ac:dyDescent="0.25">
      <c r="A15" s="10"/>
      <c r="B15" s="11">
        <v>12</v>
      </c>
      <c r="C15" s="10" t="s">
        <v>29</v>
      </c>
      <c r="D15" s="12" t="s">
        <v>25</v>
      </c>
      <c r="E15" s="12" t="s">
        <v>13</v>
      </c>
      <c r="F15" s="10"/>
      <c r="G15" s="13"/>
      <c r="H15" s="10"/>
    </row>
    <row r="16" spans="1:8" ht="30" customHeight="1" x14ac:dyDescent="0.25">
      <c r="A16" s="7"/>
      <c r="B16" s="6">
        <v>13</v>
      </c>
      <c r="C16" s="7" t="s">
        <v>30</v>
      </c>
      <c r="D16" s="8" t="s">
        <v>25</v>
      </c>
      <c r="E16" s="8" t="s">
        <v>13</v>
      </c>
      <c r="F16" s="7"/>
      <c r="G16" s="9"/>
      <c r="H16" s="7"/>
    </row>
    <row r="17" spans="1:8" ht="30" customHeight="1" x14ac:dyDescent="0.25">
      <c r="A17" s="10"/>
      <c r="B17" s="11">
        <v>14</v>
      </c>
      <c r="C17" s="10" t="s">
        <v>31</v>
      </c>
      <c r="D17" s="12" t="s">
        <v>25</v>
      </c>
      <c r="E17" s="12" t="s">
        <v>13</v>
      </c>
      <c r="F17" s="10"/>
      <c r="G17" s="13"/>
      <c r="H17" s="10"/>
    </row>
    <row r="18" spans="1:8" ht="30" customHeight="1" x14ac:dyDescent="0.25">
      <c r="A18" s="7"/>
      <c r="B18" s="6">
        <v>15</v>
      </c>
      <c r="C18" s="7" t="s">
        <v>32</v>
      </c>
      <c r="D18" s="8" t="s">
        <v>25</v>
      </c>
      <c r="E18" s="8" t="s">
        <v>13</v>
      </c>
      <c r="F18" s="7"/>
      <c r="G18" s="9"/>
      <c r="H18" s="7"/>
    </row>
    <row r="19" spans="1:8" ht="30" customHeight="1" x14ac:dyDescent="0.25">
      <c r="A19" s="10"/>
      <c r="B19" s="11">
        <v>16</v>
      </c>
      <c r="C19" s="10" t="s">
        <v>33</v>
      </c>
      <c r="D19" s="12"/>
      <c r="E19" s="12" t="s">
        <v>13</v>
      </c>
      <c r="F19" s="10"/>
      <c r="G19" s="13"/>
      <c r="H19" s="10"/>
    </row>
    <row r="20" spans="1:8" ht="30" customHeight="1" x14ac:dyDescent="0.25">
      <c r="A20" s="7"/>
      <c r="B20" s="6">
        <v>17</v>
      </c>
      <c r="C20" s="7" t="s">
        <v>34</v>
      </c>
      <c r="D20" s="8"/>
      <c r="E20" s="8" t="s">
        <v>13</v>
      </c>
      <c r="F20" s="7"/>
      <c r="G20" s="9"/>
      <c r="H20" s="7"/>
    </row>
    <row r="21" spans="1:8" ht="30" customHeight="1" x14ac:dyDescent="0.25">
      <c r="A21" s="10"/>
      <c r="B21" s="11">
        <v>18</v>
      </c>
      <c r="C21" s="10" t="s">
        <v>35</v>
      </c>
      <c r="D21" s="12"/>
      <c r="E21" s="12" t="s">
        <v>13</v>
      </c>
      <c r="F21" s="10"/>
      <c r="G21" s="13"/>
      <c r="H21" s="10"/>
    </row>
    <row r="22" spans="1:8" ht="30" customHeight="1" x14ac:dyDescent="0.25">
      <c r="A22" s="7"/>
      <c r="B22" s="6">
        <v>19</v>
      </c>
      <c r="C22" s="7" t="s">
        <v>36</v>
      </c>
      <c r="D22" s="8"/>
      <c r="E22" s="8" t="s">
        <v>13</v>
      </c>
      <c r="F22" s="7"/>
      <c r="G22" s="9"/>
      <c r="H22" s="7"/>
    </row>
    <row r="23" spans="1:8" ht="30" customHeight="1" x14ac:dyDescent="0.25">
      <c r="A23" s="10"/>
      <c r="B23" s="11">
        <v>20</v>
      </c>
      <c r="C23" s="10" t="s">
        <v>37</v>
      </c>
      <c r="D23" s="12"/>
      <c r="E23" s="12" t="s">
        <v>13</v>
      </c>
      <c r="F23" s="10"/>
      <c r="G23" s="13"/>
      <c r="H23" s="10"/>
    </row>
    <row r="24" spans="1:8" ht="30" customHeight="1" x14ac:dyDescent="0.25">
      <c r="A24" s="7"/>
      <c r="B24" s="6">
        <v>21</v>
      </c>
      <c r="C24" s="7" t="s">
        <v>38</v>
      </c>
      <c r="D24" s="8"/>
      <c r="E24" s="8" t="s">
        <v>13</v>
      </c>
      <c r="F24" s="7"/>
      <c r="G24" s="9"/>
      <c r="H24" s="7"/>
    </row>
    <row r="25" spans="1:8" ht="30" customHeight="1" x14ac:dyDescent="0.25">
      <c r="A25" s="10"/>
      <c r="B25" s="11">
        <v>22</v>
      </c>
      <c r="C25" s="10" t="s">
        <v>39</v>
      </c>
      <c r="D25" s="12"/>
      <c r="E25" s="12" t="s">
        <v>13</v>
      </c>
      <c r="F25" s="10"/>
      <c r="G25" s="13"/>
      <c r="H25" s="10"/>
    </row>
    <row r="26" spans="1:8" ht="30" customHeight="1" x14ac:dyDescent="0.25">
      <c r="A26" s="7"/>
      <c r="B26" s="6">
        <v>23</v>
      </c>
      <c r="C26" s="7" t="s">
        <v>40</v>
      </c>
      <c r="D26" s="8" t="s">
        <v>20</v>
      </c>
      <c r="E26" s="8" t="s">
        <v>13</v>
      </c>
      <c r="F26" s="7"/>
      <c r="G26" s="9"/>
      <c r="H26" s="7"/>
    </row>
    <row r="27" spans="1:8" ht="30" customHeight="1" x14ac:dyDescent="0.25">
      <c r="A27" s="10"/>
      <c r="B27" s="11">
        <v>24</v>
      </c>
      <c r="C27" s="10" t="s">
        <v>41</v>
      </c>
      <c r="D27" s="12" t="s">
        <v>42</v>
      </c>
      <c r="E27" s="12" t="s">
        <v>13</v>
      </c>
      <c r="F27" s="10"/>
      <c r="G27" s="13"/>
      <c r="H27" s="10"/>
    </row>
    <row r="28" spans="1:8" ht="30" customHeight="1" x14ac:dyDescent="0.25">
      <c r="A28" s="7"/>
      <c r="B28" s="6">
        <v>25</v>
      </c>
      <c r="C28" s="7" t="s">
        <v>43</v>
      </c>
      <c r="D28" s="8" t="s">
        <v>44</v>
      </c>
      <c r="E28" s="8" t="s">
        <v>13</v>
      </c>
      <c r="F28" s="7"/>
      <c r="G28" s="9"/>
      <c r="H28" s="7"/>
    </row>
    <row r="29" spans="1:8" ht="30" customHeight="1" x14ac:dyDescent="0.25">
      <c r="A29" s="10"/>
      <c r="B29" s="11">
        <v>26</v>
      </c>
      <c r="C29" s="10" t="s">
        <v>45</v>
      </c>
      <c r="D29" s="12"/>
      <c r="E29" s="12" t="s">
        <v>13</v>
      </c>
      <c r="F29" s="10"/>
      <c r="G29" s="13"/>
      <c r="H29" s="10"/>
    </row>
    <row r="30" spans="1:8" ht="30" customHeight="1" x14ac:dyDescent="0.25">
      <c r="A30" s="16" t="s">
        <v>46</v>
      </c>
      <c r="B30" s="6">
        <v>27</v>
      </c>
      <c r="C30" s="7" t="s">
        <v>47</v>
      </c>
      <c r="D30" s="8" t="s">
        <v>20</v>
      </c>
      <c r="E30" s="8" t="s">
        <v>13</v>
      </c>
      <c r="F30" s="7"/>
      <c r="G30" s="9"/>
      <c r="H30" s="7"/>
    </row>
    <row r="31" spans="1:8" ht="30" customHeight="1" x14ac:dyDescent="0.25">
      <c r="A31" s="10"/>
      <c r="B31" s="11">
        <v>28</v>
      </c>
      <c r="C31" s="10" t="s">
        <v>48</v>
      </c>
      <c r="D31" s="12"/>
      <c r="E31" s="12" t="s">
        <v>13</v>
      </c>
      <c r="F31" s="10"/>
      <c r="G31" s="13"/>
      <c r="H31" s="10"/>
    </row>
    <row r="32" spans="1:8" ht="30" customHeight="1" x14ac:dyDescent="0.25">
      <c r="A32" s="7"/>
      <c r="B32" s="6">
        <v>29</v>
      </c>
      <c r="C32" s="7" t="s">
        <v>49</v>
      </c>
      <c r="D32" s="8" t="s">
        <v>16</v>
      </c>
      <c r="E32" s="8" t="s">
        <v>13</v>
      </c>
      <c r="F32" s="7"/>
      <c r="G32" s="9"/>
      <c r="H32" s="7"/>
    </row>
    <row r="33" spans="1:8" ht="30" customHeight="1" x14ac:dyDescent="0.25">
      <c r="A33" s="10"/>
      <c r="B33" s="11">
        <v>30</v>
      </c>
      <c r="C33" s="10" t="s">
        <v>50</v>
      </c>
      <c r="D33" s="12"/>
      <c r="E33" s="12" t="s">
        <v>13</v>
      </c>
      <c r="F33" s="10"/>
      <c r="G33" s="13"/>
      <c r="H33" s="10"/>
    </row>
    <row r="34" spans="1:8" ht="30" customHeight="1" x14ac:dyDescent="0.25">
      <c r="A34" s="7"/>
      <c r="B34" s="6">
        <v>31</v>
      </c>
      <c r="C34" s="7" t="s">
        <v>51</v>
      </c>
      <c r="D34" s="8"/>
      <c r="E34" s="8" t="s">
        <v>13</v>
      </c>
      <c r="F34" s="7"/>
      <c r="G34" s="9"/>
      <c r="H34" s="7"/>
    </row>
    <row r="35" spans="1:8" ht="30" customHeight="1" x14ac:dyDescent="0.25">
      <c r="A35" s="17" t="s">
        <v>52</v>
      </c>
      <c r="B35" s="11">
        <v>32</v>
      </c>
      <c r="C35" s="10" t="s">
        <v>53</v>
      </c>
      <c r="D35" s="12"/>
      <c r="E35" s="12" t="s">
        <v>13</v>
      </c>
      <c r="F35" s="10"/>
      <c r="G35" s="13"/>
      <c r="H35" s="10"/>
    </row>
    <row r="36" spans="1:8" ht="30" customHeight="1" x14ac:dyDescent="0.25">
      <c r="A36" s="7"/>
      <c r="B36" s="6">
        <v>33</v>
      </c>
      <c r="C36" s="7" t="s">
        <v>54</v>
      </c>
      <c r="D36" s="8"/>
      <c r="E36" s="8" t="s">
        <v>13</v>
      </c>
      <c r="F36" s="7"/>
      <c r="G36" s="9"/>
      <c r="H36" s="7"/>
    </row>
    <row r="37" spans="1:8" ht="30" customHeight="1" x14ac:dyDescent="0.25">
      <c r="A37" s="10"/>
      <c r="B37" s="11">
        <v>34</v>
      </c>
      <c r="C37" s="10" t="s">
        <v>55</v>
      </c>
      <c r="D37" s="12" t="s">
        <v>20</v>
      </c>
      <c r="E37" s="12" t="s">
        <v>13</v>
      </c>
      <c r="F37" s="10"/>
      <c r="G37" s="13"/>
      <c r="H37" s="10"/>
    </row>
    <row r="38" spans="1:8" ht="30" customHeight="1" x14ac:dyDescent="0.25">
      <c r="A38" s="18" t="s">
        <v>56</v>
      </c>
      <c r="B38" s="6">
        <v>35</v>
      </c>
      <c r="C38" s="7" t="s">
        <v>57</v>
      </c>
      <c r="D38" s="8"/>
      <c r="E38" s="8" t="s">
        <v>13</v>
      </c>
      <c r="F38" s="7"/>
      <c r="G38" s="9"/>
      <c r="H38" s="7"/>
    </row>
    <row r="39" spans="1:8" ht="30" customHeight="1" x14ac:dyDescent="0.25">
      <c r="A39" s="10"/>
      <c r="B39" s="11">
        <v>36</v>
      </c>
      <c r="C39" s="10" t="s">
        <v>58</v>
      </c>
      <c r="D39" s="12"/>
      <c r="E39" s="12" t="s">
        <v>13</v>
      </c>
      <c r="F39" s="10"/>
      <c r="G39" s="13"/>
      <c r="H39" s="10"/>
    </row>
    <row r="40" spans="1:8" ht="30" customHeight="1" x14ac:dyDescent="0.25">
      <c r="A40" s="7"/>
      <c r="B40" s="6">
        <v>37</v>
      </c>
      <c r="C40" s="7" t="s">
        <v>59</v>
      </c>
      <c r="D40" s="8"/>
      <c r="E40" s="8" t="s">
        <v>13</v>
      </c>
      <c r="F40" s="7"/>
      <c r="G40" s="9"/>
      <c r="H40" s="7"/>
    </row>
    <row r="41" spans="1:8" ht="30" customHeight="1" x14ac:dyDescent="0.25">
      <c r="A41" s="10"/>
      <c r="B41" s="11">
        <v>38</v>
      </c>
      <c r="C41" s="10" t="s">
        <v>60</v>
      </c>
      <c r="D41" s="12"/>
      <c r="E41" s="12" t="s">
        <v>13</v>
      </c>
      <c r="F41" s="10"/>
      <c r="G41" s="13"/>
      <c r="H41" s="10"/>
    </row>
    <row r="42" spans="1:8" ht="30" customHeight="1" x14ac:dyDescent="0.25">
      <c r="A42" s="7"/>
      <c r="B42" s="6">
        <v>39</v>
      </c>
      <c r="C42" s="7" t="s">
        <v>61</v>
      </c>
      <c r="D42" s="8"/>
      <c r="E42" s="8" t="s">
        <v>13</v>
      </c>
      <c r="F42" s="7"/>
      <c r="G42" s="9"/>
      <c r="H42" s="7"/>
    </row>
    <row r="44" spans="1:8" x14ac:dyDescent="0.25">
      <c r="A44" s="1" t="s">
        <v>62</v>
      </c>
      <c r="B44" s="1"/>
      <c r="C44" s="1"/>
      <c r="D44" s="1"/>
      <c r="E44" s="1"/>
      <c r="F44" s="1"/>
      <c r="G44" s="1"/>
      <c r="H44" s="1"/>
    </row>
  </sheetData>
  <autoFilter ref="A3:H42" xr:uid="{00000000-0009-0000-0000-000000000000}"/>
  <mergeCells count="3">
    <mergeCell ref="A1:H1"/>
    <mergeCell ref="A2:H2"/>
    <mergeCell ref="A44:H44"/>
  </mergeCells>
  <dataValidations count="1">
    <dataValidation type="list" allowBlank="1" showErrorMessage="1" errorTitle="Valor no válido" error="Seleccione: Pendiente, En proceso, Completado o No aplica" sqref="E4:E42" xr:uid="{00000000-0002-0000-0000-000000000000}">
      <formula1>"Pendiente,En proceso,Completado,No aplica"</formula1>
      <formula2>0</formula2>
    </dataValidation>
  </dataValidations>
  <hyperlinks>
    <hyperlink ref="A44" r:id="rId1" xr:uid="{00000000-0004-0000-00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10" customWidth="1"/>
    <col min="3" max="4" width="12" customWidth="1"/>
    <col min="5" max="5" width="13" customWidth="1"/>
    <col min="6" max="7" width="12" customWidth="1"/>
  </cols>
  <sheetData>
    <row r="1" spans="1:7" ht="24" customHeight="1" x14ac:dyDescent="0.25">
      <c r="A1" s="3" t="s">
        <v>0</v>
      </c>
      <c r="B1" s="3"/>
      <c r="C1" s="3"/>
      <c r="D1" s="3"/>
      <c r="E1" s="3"/>
      <c r="F1" s="3"/>
      <c r="G1" s="3"/>
    </row>
    <row r="2" spans="1:7" ht="19.5" customHeight="1" x14ac:dyDescent="0.25">
      <c r="A2" s="2" t="s">
        <v>63</v>
      </c>
      <c r="B2" s="2"/>
      <c r="C2" s="2"/>
      <c r="D2" s="2"/>
      <c r="E2" s="2"/>
      <c r="F2" s="2"/>
      <c r="G2" s="2"/>
    </row>
    <row r="3" spans="1:7" ht="21.75" customHeight="1" x14ac:dyDescent="0.25">
      <c r="A3" s="4" t="s">
        <v>2</v>
      </c>
      <c r="B3" s="4" t="s">
        <v>64</v>
      </c>
      <c r="C3" s="4" t="s">
        <v>13</v>
      </c>
      <c r="D3" s="4" t="s">
        <v>65</v>
      </c>
      <c r="E3" s="4" t="s">
        <v>66</v>
      </c>
      <c r="F3" s="4" t="s">
        <v>67</v>
      </c>
      <c r="G3" s="4" t="s">
        <v>68</v>
      </c>
    </row>
    <row r="4" spans="1:7" x14ac:dyDescent="0.25">
      <c r="A4" s="19" t="s">
        <v>69</v>
      </c>
      <c r="B4" s="20">
        <f>COUNTA(Checklist!C4:C7)</f>
        <v>4</v>
      </c>
      <c r="C4" s="21">
        <f>COUNTIF(Checklist!E4:E7,"Pendiente")</f>
        <v>4</v>
      </c>
      <c r="D4" s="21">
        <f>COUNTIF(Checklist!E4:E7,"En proceso")</f>
        <v>0</v>
      </c>
      <c r="E4" s="22">
        <f>COUNTIF(Checklist!E4:E7,"Completado")</f>
        <v>0</v>
      </c>
      <c r="F4" s="23">
        <f>COUNTIF(Checklist!E4:E7,"No aplica")</f>
        <v>0</v>
      </c>
      <c r="G4" s="24">
        <f t="shared" ref="G4:G10" si="0">IFERROR(E4/(B4-F4),0)</f>
        <v>0</v>
      </c>
    </row>
    <row r="5" spans="1:7" x14ac:dyDescent="0.25">
      <c r="A5" s="25" t="s">
        <v>70</v>
      </c>
      <c r="B5" s="26">
        <f>COUNTA(Checklist!C8:C10)</f>
        <v>3</v>
      </c>
      <c r="C5" s="27">
        <f>COUNTIF(Checklist!E8:E10,"Pendiente")</f>
        <v>3</v>
      </c>
      <c r="D5" s="27">
        <f>COUNTIF(Checklist!E8:E10,"En proceso")</f>
        <v>0</v>
      </c>
      <c r="E5" s="28">
        <f>COUNTIF(Checklist!E8:E10,"Completado")</f>
        <v>0</v>
      </c>
      <c r="F5" s="29">
        <f>COUNTIF(Checklist!E8:E10,"No aplica")</f>
        <v>0</v>
      </c>
      <c r="G5" s="30">
        <f t="shared" si="0"/>
        <v>0</v>
      </c>
    </row>
    <row r="6" spans="1:7" x14ac:dyDescent="0.25">
      <c r="A6" s="31" t="s">
        <v>71</v>
      </c>
      <c r="B6" s="20">
        <f>COUNTA(Checklist!C11:C29)</f>
        <v>19</v>
      </c>
      <c r="C6" s="21">
        <f>COUNTIF(Checklist!E11:E29,"Pendiente")</f>
        <v>19</v>
      </c>
      <c r="D6" s="21">
        <f>COUNTIF(Checklist!E11:E29,"En proceso")</f>
        <v>0</v>
      </c>
      <c r="E6" s="22">
        <f>COUNTIF(Checklist!E11:E29,"Completado")</f>
        <v>0</v>
      </c>
      <c r="F6" s="23">
        <f>COUNTIF(Checklist!E11:E29,"No aplica")</f>
        <v>0</v>
      </c>
      <c r="G6" s="24">
        <f t="shared" si="0"/>
        <v>0</v>
      </c>
    </row>
    <row r="7" spans="1:7" x14ac:dyDescent="0.25">
      <c r="A7" s="32" t="s">
        <v>72</v>
      </c>
      <c r="B7" s="26">
        <f>COUNTA(Checklist!C30:C34)</f>
        <v>5</v>
      </c>
      <c r="C7" s="27">
        <f>COUNTIF(Checklist!E30:E34,"Pendiente")</f>
        <v>5</v>
      </c>
      <c r="D7" s="27">
        <f>COUNTIF(Checklist!E30:E34,"En proceso")</f>
        <v>0</v>
      </c>
      <c r="E7" s="28">
        <f>COUNTIF(Checklist!E30:E34,"Completado")</f>
        <v>0</v>
      </c>
      <c r="F7" s="29">
        <f>COUNTIF(Checklist!E30:E34,"No aplica")</f>
        <v>0</v>
      </c>
      <c r="G7" s="30">
        <f t="shared" si="0"/>
        <v>0</v>
      </c>
    </row>
    <row r="8" spans="1:7" x14ac:dyDescent="0.25">
      <c r="A8" s="33" t="s">
        <v>73</v>
      </c>
      <c r="B8" s="20">
        <f>COUNTA(Checklist!C35:C37)</f>
        <v>3</v>
      </c>
      <c r="C8" s="21">
        <f>COUNTIF(Checklist!E35:E37,"Pendiente")</f>
        <v>3</v>
      </c>
      <c r="D8" s="21">
        <f>COUNTIF(Checklist!E35:E37,"En proceso")</f>
        <v>0</v>
      </c>
      <c r="E8" s="22">
        <f>COUNTIF(Checklist!E35:E37,"Completado")</f>
        <v>0</v>
      </c>
      <c r="F8" s="23">
        <f>COUNTIF(Checklist!E35:E37,"No aplica")</f>
        <v>0</v>
      </c>
      <c r="G8" s="24">
        <f t="shared" si="0"/>
        <v>0</v>
      </c>
    </row>
    <row r="9" spans="1:7" x14ac:dyDescent="0.25">
      <c r="A9" s="34" t="s">
        <v>74</v>
      </c>
      <c r="B9" s="26">
        <f>COUNTA(Checklist!C38:C42)</f>
        <v>5</v>
      </c>
      <c r="C9" s="27">
        <f>COUNTIF(Checklist!E38:E42,"Pendiente")</f>
        <v>5</v>
      </c>
      <c r="D9" s="27">
        <f>COUNTIF(Checklist!E38:E42,"En proceso")</f>
        <v>0</v>
      </c>
      <c r="E9" s="28">
        <f>COUNTIF(Checklist!E38:E42,"Completado")</f>
        <v>0</v>
      </c>
      <c r="F9" s="29">
        <f>COUNTIF(Checklist!E38:E42,"No aplica")</f>
        <v>0</v>
      </c>
      <c r="G9" s="30">
        <f t="shared" si="0"/>
        <v>0</v>
      </c>
    </row>
    <row r="10" spans="1:7" x14ac:dyDescent="0.25">
      <c r="A10" s="19" t="s">
        <v>75</v>
      </c>
      <c r="B10" s="35">
        <f>SUM(B4:B9)</f>
        <v>39</v>
      </c>
      <c r="C10" s="35">
        <f>SUM(C4:C9)</f>
        <v>39</v>
      </c>
      <c r="D10" s="35">
        <f>SUM(D4:D9)</f>
        <v>0</v>
      </c>
      <c r="E10" s="35">
        <f>SUM(E4:E9)</f>
        <v>0</v>
      </c>
      <c r="F10" s="35">
        <f>SUM(F4:F9)</f>
        <v>0</v>
      </c>
      <c r="G10" s="36">
        <f t="shared" si="0"/>
        <v>0</v>
      </c>
    </row>
    <row r="12" spans="1:7" x14ac:dyDescent="0.25">
      <c r="A12" s="37" t="s">
        <v>76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zoomScaleNormal="100" workbookViewId="0"/>
  </sheetViews>
  <sheetFormatPr baseColWidth="10" defaultColWidth="8.7109375" defaultRowHeight="15" x14ac:dyDescent="0.25"/>
  <cols>
    <col min="1" max="1" width="18" customWidth="1"/>
    <col min="2" max="2" width="95" customWidth="1"/>
  </cols>
  <sheetData>
    <row r="1" spans="1:2" ht="24" customHeight="1" x14ac:dyDescent="0.25">
      <c r="A1" s="3" t="s">
        <v>0</v>
      </c>
      <c r="B1" s="3"/>
    </row>
    <row r="2" spans="1:2" ht="19.5" customHeight="1" x14ac:dyDescent="0.25">
      <c r="A2" s="2" t="s">
        <v>77</v>
      </c>
      <c r="B2" s="2"/>
    </row>
    <row r="3" spans="1:2" ht="21.75" customHeight="1" x14ac:dyDescent="0.25">
      <c r="A3" s="4" t="s">
        <v>78</v>
      </c>
      <c r="B3" s="4" t="s">
        <v>79</v>
      </c>
    </row>
    <row r="4" spans="1:2" ht="31.5" customHeight="1" x14ac:dyDescent="0.25">
      <c r="A4" s="38" t="s">
        <v>2</v>
      </c>
      <c r="B4" s="39" t="s">
        <v>80</v>
      </c>
    </row>
    <row r="5" spans="1:2" ht="18" customHeight="1" x14ac:dyDescent="0.25">
      <c r="A5" s="40" t="s">
        <v>3</v>
      </c>
      <c r="B5" s="41" t="s">
        <v>81</v>
      </c>
    </row>
    <row r="6" spans="1:2" ht="18" customHeight="1" x14ac:dyDescent="0.25">
      <c r="A6" s="38" t="s">
        <v>4</v>
      </c>
      <c r="B6" s="39" t="s">
        <v>82</v>
      </c>
    </row>
    <row r="7" spans="1:2" ht="31.5" customHeight="1" x14ac:dyDescent="0.25">
      <c r="A7" s="40" t="s">
        <v>5</v>
      </c>
      <c r="B7" s="41" t="s">
        <v>83</v>
      </c>
    </row>
    <row r="8" spans="1:2" ht="31.5" customHeight="1" x14ac:dyDescent="0.25">
      <c r="A8" s="38" t="s">
        <v>6</v>
      </c>
      <c r="B8" s="39" t="s">
        <v>84</v>
      </c>
    </row>
    <row r="9" spans="1:2" ht="31.5" customHeight="1" x14ac:dyDescent="0.25">
      <c r="A9" s="40" t="s">
        <v>7</v>
      </c>
      <c r="B9" s="41" t="s">
        <v>85</v>
      </c>
    </row>
    <row r="10" spans="1:2" ht="18" customHeight="1" x14ac:dyDescent="0.25">
      <c r="A10" s="38" t="s">
        <v>8</v>
      </c>
      <c r="B10" s="39" t="s">
        <v>86</v>
      </c>
    </row>
    <row r="11" spans="1:2" ht="18" customHeight="1" x14ac:dyDescent="0.25">
      <c r="A11" s="40" t="s">
        <v>9</v>
      </c>
      <c r="B11" s="41" t="s">
        <v>87</v>
      </c>
    </row>
    <row r="12" spans="1:2" ht="31.5" customHeight="1" x14ac:dyDescent="0.25">
      <c r="A12" s="38" t="s">
        <v>88</v>
      </c>
      <c r="B12" s="39" t="s">
        <v>89</v>
      </c>
    </row>
    <row r="13" spans="1:2" ht="18" customHeight="1" x14ac:dyDescent="0.25">
      <c r="A13" s="40" t="s">
        <v>90</v>
      </c>
      <c r="B13" s="42" t="s">
        <v>91</v>
      </c>
    </row>
  </sheetData>
  <mergeCells count="2">
    <mergeCell ref="A1:B1"/>
    <mergeCell ref="A2:B2"/>
  </mergeCells>
  <hyperlinks>
    <hyperlink ref="B13" r:id="rId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Checklist</vt:lpstr>
      <vt:lpstr>Dashboard</vt:lpstr>
      <vt:lpstr>Instructivo</vt:lpstr>
      <vt:lpstr>Checklist!Títulos_a_imprimir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2026-09-29T22:25:40Z</dcterms:created>
  <dcterms:modified xsi:type="dcterms:W3CDTF">2026-09-29T22:43:57Z</dcterms:modified>
  <dc:language>en-US</dc:language>
</cp:coreProperties>
</file>