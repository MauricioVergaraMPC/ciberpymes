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764D959A23A82F154D836C3994DD0746E61A4E77" xr6:coauthVersionLast="47" xr6:coauthVersionMax="47" xr10:uidLastSave="{2317BF35-086B-4A69-AD63-1006E06F4149}"/>
  <bookViews>
    <workbookView xWindow="29685" yWindow="1545" windowWidth="21600" windowHeight="11505" tabRatio="500" activeTab="1" xr2:uid="{00000000-000D-0000-FFFF-FFFF00000000}"/>
  </bookViews>
  <sheets>
    <sheet name="Evaluación" sheetId="1" r:id="rId1"/>
    <sheet name="Proveedores Autorizados" sheetId="2" r:id="rId2"/>
    <sheet name="Dashboard" sheetId="3" r:id="rId3"/>
    <sheet name="Instructiv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3" l="1"/>
  <c r="B18" i="3"/>
  <c r="B17" i="3"/>
  <c r="B16" i="3"/>
  <c r="B15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G10" i="3" s="1"/>
  <c r="F6" i="3"/>
  <c r="E6" i="3"/>
  <c r="D6" i="3"/>
  <c r="C6" i="3"/>
  <c r="C10" i="3" s="1"/>
  <c r="B6" i="3"/>
  <c r="G5" i="3"/>
  <c r="F5" i="3"/>
  <c r="F10" i="3" s="1"/>
  <c r="E5" i="3"/>
  <c r="E10" i="3" s="1"/>
  <c r="D5" i="3"/>
  <c r="D10" i="3" s="1"/>
  <c r="C5" i="3"/>
  <c r="B5" i="3"/>
  <c r="B10" i="3" s="1"/>
  <c r="O33" i="2"/>
  <c r="M33" i="2"/>
  <c r="K33" i="2"/>
  <c r="N33" i="2" s="1"/>
  <c r="O32" i="2"/>
  <c r="M32" i="2"/>
  <c r="K32" i="2"/>
  <c r="N32" i="2" s="1"/>
  <c r="O31" i="2"/>
  <c r="M31" i="2"/>
  <c r="K31" i="2"/>
  <c r="N31" i="2" s="1"/>
  <c r="O30" i="2"/>
  <c r="M30" i="2"/>
  <c r="K30" i="2"/>
  <c r="N30" i="2" s="1"/>
  <c r="O29" i="2"/>
  <c r="M29" i="2"/>
  <c r="K29" i="2"/>
  <c r="N29" i="2" s="1"/>
  <c r="O28" i="2"/>
  <c r="M28" i="2"/>
  <c r="K28" i="2"/>
  <c r="N28" i="2" s="1"/>
  <c r="O27" i="2"/>
  <c r="M27" i="2"/>
  <c r="K27" i="2"/>
  <c r="N27" i="2" s="1"/>
  <c r="O26" i="2"/>
  <c r="M26" i="2"/>
  <c r="K26" i="2"/>
  <c r="N26" i="2" s="1"/>
  <c r="O25" i="2"/>
  <c r="M25" i="2"/>
  <c r="K25" i="2"/>
  <c r="N25" i="2" s="1"/>
  <c r="O24" i="2"/>
  <c r="M24" i="2"/>
  <c r="K24" i="2"/>
  <c r="N24" i="2" s="1"/>
  <c r="O23" i="2"/>
  <c r="M23" i="2"/>
  <c r="K23" i="2"/>
  <c r="N23" i="2" s="1"/>
  <c r="O22" i="2"/>
  <c r="M22" i="2"/>
  <c r="K22" i="2"/>
  <c r="N22" i="2" s="1"/>
  <c r="O21" i="2"/>
  <c r="M21" i="2"/>
  <c r="K21" i="2"/>
  <c r="N21" i="2" s="1"/>
  <c r="O20" i="2"/>
  <c r="M20" i="2"/>
  <c r="K20" i="2"/>
  <c r="N20" i="2" s="1"/>
  <c r="O19" i="2"/>
  <c r="M19" i="2"/>
  <c r="K19" i="2"/>
  <c r="N19" i="2" s="1"/>
  <c r="O18" i="2"/>
  <c r="M18" i="2"/>
  <c r="K18" i="2"/>
  <c r="N18" i="2" s="1"/>
  <c r="O17" i="2"/>
  <c r="M17" i="2"/>
  <c r="K17" i="2"/>
  <c r="N17" i="2" s="1"/>
  <c r="O16" i="2"/>
  <c r="M16" i="2"/>
  <c r="K16" i="2"/>
  <c r="N16" i="2" s="1"/>
  <c r="O15" i="2"/>
  <c r="M15" i="2"/>
  <c r="K15" i="2"/>
  <c r="N15" i="2" s="1"/>
  <c r="O14" i="2"/>
  <c r="M14" i="2"/>
  <c r="K14" i="2"/>
  <c r="N14" i="2" s="1"/>
  <c r="O13" i="2"/>
  <c r="M13" i="2"/>
  <c r="K13" i="2"/>
  <c r="N13" i="2" s="1"/>
  <c r="O12" i="2"/>
  <c r="M12" i="2"/>
  <c r="K12" i="2"/>
  <c r="N12" i="2" s="1"/>
  <c r="O11" i="2"/>
  <c r="M11" i="2"/>
  <c r="K11" i="2"/>
  <c r="N11" i="2" s="1"/>
  <c r="O10" i="2"/>
  <c r="M10" i="2"/>
  <c r="K10" i="2"/>
  <c r="N10" i="2" s="1"/>
  <c r="O9" i="2"/>
  <c r="M9" i="2"/>
  <c r="K9" i="2"/>
  <c r="N9" i="2" s="1"/>
  <c r="O8" i="2"/>
  <c r="M8" i="2"/>
  <c r="K8" i="2"/>
  <c r="N8" i="2" s="1"/>
  <c r="O7" i="2"/>
  <c r="M7" i="2"/>
  <c r="K7" i="2"/>
  <c r="N7" i="2" s="1"/>
  <c r="O6" i="2"/>
  <c r="M6" i="2"/>
  <c r="K6" i="2"/>
  <c r="N6" i="2" s="1"/>
  <c r="O5" i="2"/>
  <c r="M5" i="2"/>
  <c r="K5" i="2"/>
  <c r="N5" i="2" s="1"/>
  <c r="M4" i="2"/>
  <c r="B22" i="3" s="1"/>
  <c r="K4" i="2"/>
  <c r="N4" i="2" s="1"/>
  <c r="D40" i="1"/>
  <c r="D22" i="1"/>
  <c r="D42" i="1" s="1"/>
  <c r="B23" i="3" l="1"/>
  <c r="D39" i="1"/>
  <c r="O4" i="2"/>
  <c r="B21" i="3"/>
  <c r="D41" i="1"/>
  <c r="D43" i="1" s="1"/>
  <c r="D11" i="3" s="1"/>
  <c r="D38" i="1"/>
  <c r="B24" i="3" l="1"/>
  <c r="B20" i="3"/>
</calcChain>
</file>

<file path=xl/sharedStrings.xml><?xml version="1.0" encoding="utf-8"?>
<sst xmlns="http://schemas.openxmlformats.org/spreadsheetml/2006/main" count="258" uniqueCount="180">
  <si>
    <t>CIBERPROTECCIÓN PARA PyMES  ·  Capítulo 14 — Disposición Final</t>
  </si>
  <si>
    <t>Evaluación para la Acreditación de Proveedores de Destrucción y Borrado Seguro</t>
  </si>
  <si>
    <t>DATOS DEL PROVEEDOR EVALUADO</t>
  </si>
  <si>
    <t>Razón social</t>
  </si>
  <si>
    <t>ID tributario (NIT/RUC/RFC)</t>
  </si>
  <si>
    <t>Servicio evaluado</t>
  </si>
  <si>
    <t>Modalidad</t>
  </si>
  <si>
    <t>Contacto del proveedor</t>
  </si>
  <si>
    <t>Sensibilidad de la información</t>
  </si>
  <si>
    <t>Evaluador</t>
  </si>
  <si>
    <t>Fecha de evaluación</t>
  </si>
  <si>
    <t>Bloque</t>
  </si>
  <si>
    <t>N°</t>
  </si>
  <si>
    <t>Criterio de acreditación</t>
  </si>
  <si>
    <t>Tipo</t>
  </si>
  <si>
    <t>Cumple</t>
  </si>
  <si>
    <t>Evidencia verificada</t>
  </si>
  <si>
    <t>Observaciones</t>
  </si>
  <si>
    <t>CERTIFICACIONES</t>
  </si>
  <si>
    <t>Cuenta con al menos una certificación vigente reconocida en la industria de destrucción de datos: NAID AAA, R2 o e-Stewards.</t>
  </si>
  <si>
    <t>Obligatorio</t>
  </si>
  <si>
    <t>Sin evaluar</t>
  </si>
  <si>
    <t>La vigencia de la certificación fue confirmada en el registro público del organismo certificador, no únicamente en la copia entregada por el proveedor.</t>
  </si>
  <si>
    <t>El alcance de la certificación cubre el servicio contratado (destrucción física, borrado lógico) y la modalidad (en sitio o en planta).</t>
  </si>
  <si>
    <t>El alcance de la certificación cubre la instalación física donde se procesarán los dispositivos de la organización.</t>
  </si>
  <si>
    <t>La certificación cubre los tipos de medio que se entregarán (discos HDD, SSD, memorias flash, teléfonos móviles, cintas).</t>
  </si>
  <si>
    <t>Complementario</t>
  </si>
  <si>
    <t>CERTIFICADOS DE DESTRUCCIÓN</t>
  </si>
  <si>
    <t>Emite un certificado de destrucción o borrado individualizado por dispositivo, identificado por número de serie.</t>
  </si>
  <si>
    <t>El certificado registra el método aplicado (limpiar, purgar o destruir), la técnica, la herramienta y su versión, el resultado de la verificación, la fecha y la firma del responsable.</t>
  </si>
  <si>
    <t>Se revisó un certificado de muestra emitido a otro cliente (con datos anonimizados) y cumple con los campos requeridos.</t>
  </si>
  <si>
    <t>El plazo máximo de entrega de los certificados tras la ejecución del servicio está definido por escrito.</t>
  </si>
  <si>
    <t>Los certificados son verificables en un portal del proveedor o mediante firma digital.</t>
  </si>
  <si>
    <t>Para destrucción física, declara el tamaño máximo de partícula resultante según el tipo de medio.</t>
  </si>
  <si>
    <t>AUDITORÍA Y VERIFICACIÓN</t>
  </si>
  <si>
    <t>Acepta por escrito auditorías o visitas de verificación por parte de la organización o de un tercero designado.</t>
  </si>
  <si>
    <t>Se realizó una visita de verificación a las instalaciones del proveedor (obligatoria cuando la sensibilidad de la información es Alta).</t>
  </si>
  <si>
    <t>Permite presenciar la destrucción, en sitio o mediante transmisión de video.</t>
  </si>
  <si>
    <t>Entrega evidencia fotográfica o en video de la destrucción, vinculada a los números de serie.</t>
  </si>
  <si>
    <t>Presentó el informe de la última auditoría del organismo certificador sin hallazgos críticos abiertos.</t>
  </si>
  <si>
    <t>CADENA DE CUSTODIA</t>
  </si>
  <si>
    <t>Dispone de un procedimiento documentado de cadena de custodia desde el retiro del dispositivo hasta su destrucción.</t>
  </si>
  <si>
    <t>Concilia el inventario por número de serie al momento del retiro y firma el acta de entrega correspondiente.</t>
  </si>
  <si>
    <t>Transporta los dispositivos en contenedores cerrados con sello de seguridad y en vehículos con seguimiento satelital.</t>
  </si>
  <si>
    <t>El personal que manipula los dispositivos cuenta con verificación de antecedentes.</t>
  </si>
  <si>
    <t>Define un plazo máximo entre el retiro de los dispositivos y su destrucción o borrado.</t>
  </si>
  <si>
    <t>CONDICIONES CONTRACTUALES</t>
  </si>
  <si>
    <t>El contrato incluye una cláusula de confidencialidad sobre la información contenida en los dispositivos.</t>
  </si>
  <si>
    <t>El contrato prohíbe la subcontratación del servicio sin autorización previa y escrita de la organización.</t>
  </si>
  <si>
    <t>El contrato obliga a notificar la pérdida o sustracción de un dispositivo en custodia dentro de un plazo definido.</t>
  </si>
  <si>
    <t>Mantiene una póliza de responsabilidad civil que cubre incidentes derivados del servicio.</t>
  </si>
  <si>
    <t>Dispone de los residuos conforme a la normativa local de residuos de aparatos eléctricos y electrónicos (RAEE).</t>
  </si>
  <si>
    <t>RESULTADO DE LA EVALUACIÓN</t>
  </si>
  <si>
    <t>Criterios obligatorios</t>
  </si>
  <si>
    <t>Obligatorios que cumplen</t>
  </si>
  <si>
    <t>Obligatorios con incumplimiento (No / Parcial)</t>
  </si>
  <si>
    <t>Obligatorios sin evaluar</t>
  </si>
  <si>
    <t>Cumplimiento de criterios complementarios</t>
  </si>
  <si>
    <t>DICTAMEN</t>
  </si>
  <si>
    <t>Regla de decisión: un único criterio obligatorio en estado No o Parcial impide la acreditación, con independencia del precio, la urgencia o el cumplimiento de los criterios complementarios.</t>
  </si>
  <si>
    <t>Listado de Proveedores Autorizados de Destrucción y Borrado Seguro</t>
  </si>
  <si>
    <t>ID</t>
  </si>
  <si>
    <t>ID tributario</t>
  </si>
  <si>
    <t>Servicio</t>
  </si>
  <si>
    <t>Vigencia NAID AAA</t>
  </si>
  <si>
    <t>Vigencia R2</t>
  </si>
  <si>
    <t>Vigencia e-Stewards</t>
  </si>
  <si>
    <t>Certificado por dispositivo</t>
  </si>
  <si>
    <t>Permite auditoría</t>
  </si>
  <si>
    <t>Fecha de acreditación</t>
  </si>
  <si>
    <t>Próxima reevaluación</t>
  </si>
  <si>
    <t>Estado</t>
  </si>
  <si>
    <t>Alerta de certificación</t>
  </si>
  <si>
    <t>Alerta de reevaluación</t>
  </si>
  <si>
    <t>¿Apto para recibir dispositivos?</t>
  </si>
  <si>
    <t>Responsable interno</t>
  </si>
  <si>
    <t>PRV-01</t>
  </si>
  <si>
    <t>Destrucción Segura Andina S.A.S. (ejemplo)</t>
  </si>
  <si>
    <t>900.123.456-7</t>
  </si>
  <si>
    <t>Destrucción física y borrado lógico</t>
  </si>
  <si>
    <t>Sí</t>
  </si>
  <si>
    <t>Autorizado</t>
  </si>
  <si>
    <t>Jefe de TI</t>
  </si>
  <si>
    <t>Fila de ejemplo: reemplazar o eliminar. Visita de verificación realizada el 2026-03-10.</t>
  </si>
  <si>
    <t>PRV-02</t>
  </si>
  <si>
    <t>PRV-03</t>
  </si>
  <si>
    <t>PRV-04</t>
  </si>
  <si>
    <t>PRV-05</t>
  </si>
  <si>
    <t>PRV-06</t>
  </si>
  <si>
    <t>PRV-07</t>
  </si>
  <si>
    <t>PRV-08</t>
  </si>
  <si>
    <t>PRV-09</t>
  </si>
  <si>
    <t>PRV-10</t>
  </si>
  <si>
    <t>PRV-11</t>
  </si>
  <si>
    <t>PRV-12</t>
  </si>
  <si>
    <t>PRV-13</t>
  </si>
  <si>
    <t>PRV-14</t>
  </si>
  <si>
    <t>PRV-15</t>
  </si>
  <si>
    <t>PRV-16</t>
  </si>
  <si>
    <t>PRV-17</t>
  </si>
  <si>
    <t>PRV-18</t>
  </si>
  <si>
    <t>PRV-19</t>
  </si>
  <si>
    <t>PRV-20</t>
  </si>
  <si>
    <t>PRV-21</t>
  </si>
  <si>
    <t>PRV-22</t>
  </si>
  <si>
    <t>PRV-23</t>
  </si>
  <si>
    <t>PRV-24</t>
  </si>
  <si>
    <t>PRV-25</t>
  </si>
  <si>
    <t>PRV-26</t>
  </si>
  <si>
    <t>PRV-27</t>
  </si>
  <si>
    <t>PRV-28</t>
  </si>
  <si>
    <t>PRV-29</t>
  </si>
  <si>
    <t>PRV-30</t>
  </si>
  <si>
    <t>Regla de uso: ningún dispositivo se entrega a un proveedor cuya columna «¿Apto para recibir dispositivos?» indique NO, con independencia de la urgencia o del ahorro ofrecido. Las columnas K, M, N y O se calculan automáticamente.</t>
  </si>
  <si>
    <t>Dashboard — Acreditación y Estado de Proveedores</t>
  </si>
  <si>
    <t>EVALUACIÓN EN CURSO — Cumplimiento por bloque (hoja Evaluación)</t>
  </si>
  <si>
    <t>Criterios</t>
  </si>
  <si>
    <t>Parcial</t>
  </si>
  <si>
    <t>No</t>
  </si>
  <si>
    <t>No aplica</t>
  </si>
  <si>
    <t>TOTAL</t>
  </si>
  <si>
    <t>Dictamen de la evaluación en curso</t>
  </si>
  <si>
    <t>LISTADO DE PROVEEDORES — Estado general (hoja Proveedores Autorizados)</t>
  </si>
  <si>
    <t>Indicador</t>
  </si>
  <si>
    <t>Cantidad</t>
  </si>
  <si>
    <t>Proveedores registrados</t>
  </si>
  <si>
    <t>En evaluación</t>
  </si>
  <si>
    <t>Autorizados</t>
  </si>
  <si>
    <t>Suspendidos</t>
  </si>
  <si>
    <t>Revocados</t>
  </si>
  <si>
    <t>Aptos para recibir dispositivos hoy</t>
  </si>
  <si>
    <t>Con certificación vencida o sin certificación</t>
  </si>
  <si>
    <t>Con certificación por vencer (≤60 días)</t>
  </si>
  <si>
    <t>Con reevaluación vencida</t>
  </si>
  <si>
    <t>Autorizados que hoy NO son aptos (requieren acción)</t>
  </si>
  <si>
    <t>Nota: este dashboard se actualiza automáticamente. Los datos se registran en las hojas Evaluación y Proveedores Autorizados.</t>
  </si>
  <si>
    <t>Instructivo de Uso de la Plantilla</t>
  </si>
  <si>
    <t>PROPÓSITO</t>
  </si>
  <si>
    <t>Campo</t>
  </si>
  <si>
    <t>Descripción</t>
  </si>
  <si>
    <t>Objetivo</t>
  </si>
  <si>
    <t>Verificar la idoneidad de un proveedor externo de destrucción física o borrado seguro antes de incorporarlo al proceso de disposición final, y mantener el listado actualizado de proveedores autorizados.</t>
  </si>
  <si>
    <t>Principio</t>
  </si>
  <si>
    <t>Ningún dispositivo se entrega a un tercero que no haya superado este proceso de acreditación, con independencia de la urgencia o del ahorro que ofrezca.</t>
  </si>
  <si>
    <t>Celdas editables</t>
  </si>
  <si>
    <t>Las celdas de fondo amarillo claro en la hoja Evaluación y las columnas A–L, P y Q de la hoja Proveedores Autorizados. Las demás celdas contienen fórmulas y no deben modificarse.</t>
  </si>
  <si>
    <t>PROCEDIMIENTO</t>
  </si>
  <si>
    <t>Paso 1 — Datos del proveedor</t>
  </si>
  <si>
    <t>Completar el bloque «Datos del proveedor evaluado» en la hoja Evaluación. El campo «Sensibilidad de la información» determina si la visita de verificación (criterio 13) es obligatoria: con sensibilidad Alta pasa a ser Obligatorio automáticamente.</t>
  </si>
  <si>
    <t>Paso 2 — Evaluación de criterios</t>
  </si>
  <si>
    <t>Asignar a cada criterio un valor en la columna «Cumple» y registrar en «Evidencia verificada» el documento o la verificación que lo respalda (por ejemplo: número de certificado, captura del registro público, acta de visita).</t>
  </si>
  <si>
    <t>Paso 3 — Dictamen</t>
  </si>
  <si>
    <t>El dictamen se calcula automáticamente: ACREDITABLE solo si todos los criterios obligatorios están en Sí o No aplica. Un solo criterio obligatorio en No o Parcial produce NO ACREDITABLE.</t>
  </si>
  <si>
    <t>Paso 4 — Registro</t>
  </si>
  <si>
    <t>Si el dictamen es ACREDITABLE, registrar al proveedor en la hoja Proveedores Autorizados con estado Autorizado. Guardar una copia de la hoja Evaluación por proveedor como soporte de la decisión.</t>
  </si>
  <si>
    <t>Paso 5 — Mantenimiento</t>
  </si>
  <si>
    <t>Revisar mensualmente las columnas de alerta. Suspender al proveedor si su certificación vence o si la reevaluación anual no se realiza a tiempo, y revocarlo ante un incidente o incumplimiento contractual.</t>
  </si>
  <si>
    <t>HOJA EVALUACIÓN — CAMPOS</t>
  </si>
  <si>
    <t>Obligatorio: su incumplimiento impide la acreditación. Complementario: suma al porcentaje de cumplimiento, pero no bloquea la decisión.</t>
  </si>
  <si>
    <t>Sin evaluar (valor inicial) / Sí / Parcial / No / No aplica. «No aplica» se reserva para criterios que no corresponden al servicio contratado (por ejemplo, tamaño de partícula en un servicio exclusivo de borrado lógico).</t>
  </si>
  <si>
    <t>Referencia concreta a la evidencia revisada. Una declaración verbal del proveedor no constituye evidencia.</t>
  </si>
  <si>
    <t>HOJA PROVEEDORES AUTORIZADOS — CAMPOS</t>
  </si>
  <si>
    <t>Vigencia NAID AAA / R2 / e-Stewards</t>
  </si>
  <si>
    <t>Fecha de vencimiento de cada certificación que posea el proveedor. Dejar en blanco las que no tenga.</t>
  </si>
  <si>
    <t>Certificado por dispositivo / Permite auditoría</t>
  </si>
  <si>
    <t>Sí / No. Ambos deben estar en Sí para que el proveedor resulte apto.</t>
  </si>
  <si>
    <t>Fecha del dictamen ACREDITABLE. La próxima reevaluación se calcula a 12 meses.</t>
  </si>
  <si>
    <t>En evaluación / Autorizado / Suspendido / Revocado.</t>
  </si>
  <si>
    <t>Calculada: Sin certificación, Certificación vencida, Vence en ≤60 días o Vigente. Toma la fecha de vencimiento más próxima entre las certificaciones registradas.</t>
  </si>
  <si>
    <t>Calculada: Reevaluación vencida, Vence en ≤30 días o Vigente.</t>
  </si>
  <si>
    <t>Calculada: SÍ únicamente si el estado es Autorizado, emite certificado por dispositivo, permite auditoría y ni la certificación ni la reevaluación están vencidas. Es el campo que debe consultarse antes de cada entrega.</t>
  </si>
  <si>
    <t>REFERENCIAS</t>
  </si>
  <si>
    <t>NAID AAA</t>
  </si>
  <si>
    <t>Certificación de servicios de destrucción de información creada por la National Association for Information Destruction (NAID), administrada actualmente por i-SIGMA.</t>
  </si>
  <si>
    <t>R2</t>
  </si>
  <si>
    <t>Estándar de reciclaje responsable de equipos electrónicos (Responsible Recycling), administrado por SERI; su versión vigente (R2v3) incluye requisitos de saneamiento de datos.</t>
  </si>
  <si>
    <t>e-Stewards</t>
  </si>
  <si>
    <t>Estándar de reciclaje y reutilización responsable de equipos electrónicos, administrado por Basel Action Network, con requisitos de seguridad de datos.</t>
  </si>
  <si>
    <t>NIST SP 800-88 Rev. 2 (sept. 2025)</t>
  </si>
  <si>
    <t>Guía de saneamiento de medios que define los métodos limpiar, purgar y destruir, y recomienda emitir un certificado de saneamiento por dispositivo.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</si>
</sst>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1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sz val="10"/>
      <color rgb="FF000000"/>
      <name val="Calibri"/>
      <charset val="1"/>
    </font>
    <font>
      <sz val="9"/>
      <color rgb="FF555555"/>
      <name val="Calibri"/>
      <charset val="1"/>
    </font>
    <font>
      <b/>
      <sz val="9"/>
      <color rgb="FF000000"/>
      <name val="Calibri"/>
      <charset val="1"/>
    </font>
    <font>
      <sz val="9"/>
      <color rgb="FF000000"/>
      <name val="Calibri"/>
      <charset val="1"/>
    </font>
    <font>
      <b/>
      <sz val="10"/>
      <color rgb="FF000000"/>
      <name val="Calibri"/>
      <charset val="1"/>
    </font>
    <font>
      <b/>
      <sz val="11"/>
      <color rgb="FF000000"/>
      <name val="Calibri"/>
      <charset val="1"/>
    </font>
    <font>
      <i/>
      <sz val="9"/>
      <color rgb="FF777777"/>
      <name val="Calibri"/>
      <charset val="1"/>
    </font>
    <font>
      <i/>
      <sz val="10"/>
      <color rgb="FF5F5E5A"/>
      <name val="Calibri"/>
      <charset val="1"/>
    </font>
    <font>
      <i/>
      <sz val="9"/>
      <color rgb="FF5F5E5A"/>
      <name val="Calibri"/>
      <charset val="1"/>
    </font>
    <font>
      <sz val="10"/>
      <color rgb="FF3B6D11"/>
      <name val="Calibri"/>
      <charset val="1"/>
    </font>
    <font>
      <sz val="10"/>
      <color rgb="FFBA7517"/>
      <name val="Calibri"/>
      <charset val="1"/>
    </font>
    <font>
      <sz val="10"/>
      <color rgb="FFA32D2D"/>
      <name val="Calibri"/>
      <charset val="1"/>
    </font>
    <font>
      <sz val="10"/>
      <color rgb="FF777777"/>
      <name val="Calibri"/>
      <charset val="1"/>
    </font>
    <font>
      <b/>
      <sz val="10"/>
      <color rgb="FF3B6D11"/>
      <name val="Calibri"/>
      <charset val="1"/>
    </font>
    <font>
      <b/>
      <sz val="10"/>
      <color rgb="FFBA7517"/>
      <name val="Calibri"/>
      <charset val="1"/>
    </font>
    <font>
      <b/>
      <sz val="10"/>
      <color rgb="FFA32D2D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2E6DA4"/>
      </patternFill>
    </fill>
    <fill>
      <patternFill patternType="solid">
        <fgColor rgb="FF2E6DA4"/>
        <bgColor rgb="FF185FA5"/>
      </patternFill>
    </fill>
    <fill>
      <patternFill patternType="solid">
        <fgColor rgb="FFFFF9E6"/>
        <bgColor rgb="FFF5F5F2"/>
      </patternFill>
    </fill>
    <fill>
      <patternFill patternType="solid">
        <fgColor rgb="FFFFFFFF"/>
        <bgColor rgb="FFFFF9E6"/>
      </patternFill>
    </fill>
    <fill>
      <patternFill patternType="solid">
        <fgColor rgb="FFF5F5F2"/>
        <bgColor rgb="FFFFF9E6"/>
      </patternFill>
    </fill>
    <fill>
      <patternFill patternType="solid">
        <fgColor rgb="FFBA7517"/>
        <bgColor rgb="FFFF6600"/>
      </patternFill>
    </fill>
    <fill>
      <patternFill patternType="solid">
        <fgColor rgb="FF3B6D11"/>
        <bgColor rgb="FF555555"/>
      </patternFill>
    </fill>
    <fill>
      <patternFill patternType="solid">
        <fgColor rgb="FFA32D2D"/>
        <bgColor rgb="FF993366"/>
      </patternFill>
    </fill>
    <fill>
      <patternFill patternType="solid">
        <fgColor rgb="FFB5D4F4"/>
        <bgColor rgb="FF99CCFF"/>
      </patternFill>
    </fill>
  </fills>
  <borders count="3">
    <border>
      <left/>
      <right/>
      <top/>
      <bottom/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9" fillId="11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9" fontId="9" fillId="6" borderId="2" xfId="0" applyNumberFormat="1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164" fontId="8" fillId="6" borderId="2" xfId="0" applyNumberFormat="1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164" fontId="8" fillId="7" borderId="2" xfId="0" applyNumberFormat="1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/>
        <color rgb="FFFFFFFF"/>
      </font>
      <fill>
        <patternFill>
          <bgColor rgb="FFA32D2D"/>
        </patternFill>
      </fill>
    </dxf>
    <dxf>
      <font>
        <b/>
        <color rgb="FFFFFFFF"/>
      </font>
      <fill>
        <patternFill>
          <bgColor rgb="FF3B6D11"/>
        </patternFill>
      </fill>
    </dxf>
    <dxf>
      <font>
        <b/>
        <color rgb="FF3B6D11"/>
      </font>
    </dxf>
    <dxf>
      <font>
        <b/>
        <color rgb="FFBA7517"/>
      </font>
      <fill>
        <patternFill>
          <bgColor rgb="FFFBEEDC"/>
        </patternFill>
      </fill>
    </dxf>
    <dxf>
      <font>
        <b/>
        <color rgb="FFA32D2D"/>
      </font>
      <fill>
        <patternFill>
          <bgColor rgb="FFF7E1E1"/>
        </patternFill>
      </fill>
    </dxf>
    <dxf>
      <font>
        <b/>
        <color rgb="FFBA7517"/>
      </font>
    </dxf>
    <dxf>
      <font>
        <b/>
        <color rgb="FFA32D2D"/>
      </font>
    </dxf>
    <dxf>
      <font>
        <b/>
        <color rgb="FF3B6D11"/>
      </font>
    </dxf>
    <dxf>
      <font>
        <b/>
        <color rgb="FFBA7517"/>
      </font>
      <fill>
        <patternFill>
          <bgColor rgb="FFFBEEDC"/>
        </patternFill>
      </fill>
    </dxf>
    <dxf>
      <font>
        <b/>
        <color rgb="FF3B6D11"/>
      </font>
      <fill>
        <patternFill>
          <bgColor rgb="FFE3EFD9"/>
        </patternFill>
      </fill>
    </dxf>
    <dxf>
      <font>
        <b/>
        <color rgb="FFA32D2D"/>
      </font>
      <fill>
        <patternFill>
          <bgColor rgb="FFF7E1E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777777"/>
      <rgbColor rgb="FF9999FF"/>
      <rgbColor rgb="FF993366"/>
      <rgbColor rgb="FFFFF9E6"/>
      <rgbColor rgb="FFF5F5F2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FD9"/>
      <rgbColor rgb="FFFBEEDC"/>
      <rgbColor rgb="FF99CCFF"/>
      <rgbColor rgb="FFFF99CC"/>
      <rgbColor rgb="FFCC99FF"/>
      <rgbColor rgb="FFF7E1E1"/>
      <rgbColor rgb="FF2E6DA4"/>
      <rgbColor rgb="FF33CCCC"/>
      <rgbColor rgb="FF99CC00"/>
      <rgbColor rgb="FFFFCC00"/>
      <rgbColor rgb="FFFF9900"/>
      <rgbColor rgb="FFFF6600"/>
      <rgbColor rgb="FF5F5E5A"/>
      <rgbColor rgb="FF969696"/>
      <rgbColor rgb="FF0F3F6E"/>
      <rgbColor rgb="FF339966"/>
      <rgbColor rgb="FF003300"/>
      <rgbColor rgb="FF333300"/>
      <rgbColor rgb="FFA32D2D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4"/>
  <sheetViews>
    <sheetView showGridLines="0" zoomScaleNormal="100" workbookViewId="0">
      <pane ySplit="9" topLeftCell="A10" activePane="bottomLeft" state="frozen"/>
      <selection pane="bottomLeft" sqref="A1:G1"/>
    </sheetView>
  </sheetViews>
  <sheetFormatPr baseColWidth="10" defaultColWidth="8.7109375" defaultRowHeight="15" x14ac:dyDescent="0.25"/>
  <cols>
    <col min="1" max="1" width="16" customWidth="1"/>
    <col min="2" max="2" width="5" customWidth="1"/>
    <col min="3" max="3" width="70" customWidth="1"/>
    <col min="4" max="4" width="16" customWidth="1"/>
    <col min="5" max="5" width="14" customWidth="1"/>
    <col min="6" max="6" width="30" customWidth="1"/>
    <col min="7" max="7" width="34" customWidth="1"/>
  </cols>
  <sheetData>
    <row r="1" spans="1:7" ht="27.75" customHeight="1" x14ac:dyDescent="0.25">
      <c r="A1" s="14" t="s">
        <v>0</v>
      </c>
      <c r="B1" s="14"/>
      <c r="C1" s="14"/>
      <c r="D1" s="14"/>
      <c r="E1" s="14"/>
      <c r="F1" s="14"/>
      <c r="G1" s="14"/>
    </row>
    <row r="2" spans="1:7" ht="21.75" customHeight="1" x14ac:dyDescent="0.25">
      <c r="A2" s="13" t="s">
        <v>1</v>
      </c>
      <c r="B2" s="13"/>
      <c r="C2" s="13"/>
      <c r="D2" s="13"/>
      <c r="E2" s="13"/>
      <c r="F2" s="13"/>
      <c r="G2" s="13"/>
    </row>
    <row r="3" spans="1:7" ht="19.5" customHeight="1" x14ac:dyDescent="0.25">
      <c r="A3" s="12" t="s">
        <v>2</v>
      </c>
      <c r="B3" s="12"/>
      <c r="C3" s="12"/>
      <c r="D3" s="12"/>
      <c r="E3" s="12"/>
      <c r="F3" s="12"/>
      <c r="G3" s="12"/>
    </row>
    <row r="4" spans="1:7" ht="19.5" customHeight="1" x14ac:dyDescent="0.25">
      <c r="A4" s="11" t="s">
        <v>3</v>
      </c>
      <c r="B4" s="11"/>
      <c r="C4" s="15"/>
      <c r="D4" s="11" t="s">
        <v>4</v>
      </c>
      <c r="E4" s="11"/>
      <c r="F4" s="10"/>
      <c r="G4" s="10"/>
    </row>
    <row r="5" spans="1:7" ht="19.5" customHeight="1" x14ac:dyDescent="0.25">
      <c r="A5" s="11" t="s">
        <v>5</v>
      </c>
      <c r="B5" s="11"/>
      <c r="C5" s="15"/>
      <c r="D5" s="11" t="s">
        <v>6</v>
      </c>
      <c r="E5" s="11"/>
      <c r="F5" s="10"/>
      <c r="G5" s="10"/>
    </row>
    <row r="6" spans="1:7" ht="19.5" customHeight="1" x14ac:dyDescent="0.25">
      <c r="A6" s="11" t="s">
        <v>7</v>
      </c>
      <c r="B6" s="11"/>
      <c r="C6" s="15"/>
      <c r="D6" s="11" t="s">
        <v>8</v>
      </c>
      <c r="E6" s="11"/>
      <c r="F6" s="10"/>
      <c r="G6" s="10"/>
    </row>
    <row r="7" spans="1:7" ht="19.5" customHeight="1" x14ac:dyDescent="0.25">
      <c r="A7" s="11" t="s">
        <v>9</v>
      </c>
      <c r="B7" s="11"/>
      <c r="C7" s="15"/>
      <c r="D7" s="11" t="s">
        <v>10</v>
      </c>
      <c r="E7" s="11"/>
      <c r="F7" s="9"/>
      <c r="G7" s="9"/>
    </row>
    <row r="9" spans="1:7" ht="21.75" customHeight="1" x14ac:dyDescent="0.25">
      <c r="A9" s="16" t="s">
        <v>11</v>
      </c>
      <c r="B9" s="16" t="s">
        <v>12</v>
      </c>
      <c r="C9" s="16" t="s">
        <v>13</v>
      </c>
      <c r="D9" s="16" t="s">
        <v>14</v>
      </c>
      <c r="E9" s="16" t="s">
        <v>15</v>
      </c>
      <c r="F9" s="16" t="s">
        <v>16</v>
      </c>
      <c r="G9" s="16" t="s">
        <v>17</v>
      </c>
    </row>
    <row r="10" spans="1:7" ht="33" customHeight="1" x14ac:dyDescent="0.25">
      <c r="A10" s="17" t="s">
        <v>18</v>
      </c>
      <c r="B10" s="18">
        <v>1</v>
      </c>
      <c r="C10" s="19" t="s">
        <v>19</v>
      </c>
      <c r="D10" s="20" t="s">
        <v>20</v>
      </c>
      <c r="E10" s="21" t="s">
        <v>21</v>
      </c>
      <c r="F10" s="22"/>
      <c r="G10" s="22"/>
    </row>
    <row r="11" spans="1:7" ht="33" customHeight="1" x14ac:dyDescent="0.25">
      <c r="A11" s="17"/>
      <c r="B11" s="23">
        <v>2</v>
      </c>
      <c r="C11" s="24" t="s">
        <v>22</v>
      </c>
      <c r="D11" s="25" t="s">
        <v>20</v>
      </c>
      <c r="E11" s="26" t="s">
        <v>21</v>
      </c>
      <c r="F11" s="27"/>
      <c r="G11" s="27"/>
    </row>
    <row r="12" spans="1:7" ht="33" customHeight="1" x14ac:dyDescent="0.25">
      <c r="A12" s="17"/>
      <c r="B12" s="18">
        <v>3</v>
      </c>
      <c r="C12" s="19" t="s">
        <v>23</v>
      </c>
      <c r="D12" s="20" t="s">
        <v>20</v>
      </c>
      <c r="E12" s="21" t="s">
        <v>21</v>
      </c>
      <c r="F12" s="22"/>
      <c r="G12" s="22"/>
    </row>
    <row r="13" spans="1:7" ht="33" customHeight="1" x14ac:dyDescent="0.25">
      <c r="A13" s="17"/>
      <c r="B13" s="23">
        <v>4</v>
      </c>
      <c r="C13" s="24" t="s">
        <v>24</v>
      </c>
      <c r="D13" s="25" t="s">
        <v>20</v>
      </c>
      <c r="E13" s="26" t="s">
        <v>21</v>
      </c>
      <c r="F13" s="27"/>
      <c r="G13" s="27"/>
    </row>
    <row r="14" spans="1:7" ht="33" customHeight="1" x14ac:dyDescent="0.25">
      <c r="A14" s="17"/>
      <c r="B14" s="18">
        <v>5</v>
      </c>
      <c r="C14" s="19" t="s">
        <v>25</v>
      </c>
      <c r="D14" s="28" t="s">
        <v>26</v>
      </c>
      <c r="E14" s="21" t="s">
        <v>21</v>
      </c>
      <c r="F14" s="22"/>
      <c r="G14" s="22"/>
    </row>
    <row r="15" spans="1:7" ht="33" customHeight="1" x14ac:dyDescent="0.25">
      <c r="A15" s="29" t="s">
        <v>27</v>
      </c>
      <c r="B15" s="23">
        <v>6</v>
      </c>
      <c r="C15" s="24" t="s">
        <v>28</v>
      </c>
      <c r="D15" s="25" t="s">
        <v>20</v>
      </c>
      <c r="E15" s="26" t="s">
        <v>21</v>
      </c>
      <c r="F15" s="27"/>
      <c r="G15" s="27"/>
    </row>
    <row r="16" spans="1:7" ht="33" customHeight="1" x14ac:dyDescent="0.25">
      <c r="A16" s="29"/>
      <c r="B16" s="18">
        <v>7</v>
      </c>
      <c r="C16" s="19" t="s">
        <v>29</v>
      </c>
      <c r="D16" s="20" t="s">
        <v>20</v>
      </c>
      <c r="E16" s="21" t="s">
        <v>21</v>
      </c>
      <c r="F16" s="22"/>
      <c r="G16" s="22"/>
    </row>
    <row r="17" spans="1:7" ht="33" customHeight="1" x14ac:dyDescent="0.25">
      <c r="A17" s="29"/>
      <c r="B17" s="23">
        <v>8</v>
      </c>
      <c r="C17" s="24" t="s">
        <v>30</v>
      </c>
      <c r="D17" s="25" t="s">
        <v>20</v>
      </c>
      <c r="E17" s="26" t="s">
        <v>21</v>
      </c>
      <c r="F17" s="27"/>
      <c r="G17" s="27"/>
    </row>
    <row r="18" spans="1:7" ht="33" customHeight="1" x14ac:dyDescent="0.25">
      <c r="A18" s="29"/>
      <c r="B18" s="18">
        <v>9</v>
      </c>
      <c r="C18" s="19" t="s">
        <v>31</v>
      </c>
      <c r="D18" s="28" t="s">
        <v>26</v>
      </c>
      <c r="E18" s="21" t="s">
        <v>21</v>
      </c>
      <c r="F18" s="22"/>
      <c r="G18" s="22"/>
    </row>
    <row r="19" spans="1:7" ht="33" customHeight="1" x14ac:dyDescent="0.25">
      <c r="A19" s="29"/>
      <c r="B19" s="23">
        <v>10</v>
      </c>
      <c r="C19" s="24" t="s">
        <v>32</v>
      </c>
      <c r="D19" s="30" t="s">
        <v>26</v>
      </c>
      <c r="E19" s="26" t="s">
        <v>21</v>
      </c>
      <c r="F19" s="27"/>
      <c r="G19" s="27"/>
    </row>
    <row r="20" spans="1:7" ht="33" customHeight="1" x14ac:dyDescent="0.25">
      <c r="A20" s="29"/>
      <c r="B20" s="18">
        <v>11</v>
      </c>
      <c r="C20" s="19" t="s">
        <v>33</v>
      </c>
      <c r="D20" s="28" t="s">
        <v>26</v>
      </c>
      <c r="E20" s="21" t="s">
        <v>21</v>
      </c>
      <c r="F20" s="22"/>
      <c r="G20" s="22"/>
    </row>
    <row r="21" spans="1:7" ht="33" customHeight="1" x14ac:dyDescent="0.25">
      <c r="A21" s="31" t="s">
        <v>34</v>
      </c>
      <c r="B21" s="23">
        <v>12</v>
      </c>
      <c r="C21" s="24" t="s">
        <v>35</v>
      </c>
      <c r="D21" s="25" t="s">
        <v>20</v>
      </c>
      <c r="E21" s="26" t="s">
        <v>21</v>
      </c>
      <c r="F21" s="27"/>
      <c r="G21" s="27"/>
    </row>
    <row r="22" spans="1:7" ht="33" customHeight="1" x14ac:dyDescent="0.25">
      <c r="A22" s="31"/>
      <c r="B22" s="18">
        <v>13</v>
      </c>
      <c r="C22" s="19" t="s">
        <v>36</v>
      </c>
      <c r="D22" s="28" t="str">
        <f>IF($F$6="Alta","Obligatorio","Complementario")</f>
        <v>Complementario</v>
      </c>
      <c r="E22" s="21" t="s">
        <v>21</v>
      </c>
      <c r="F22" s="22"/>
      <c r="G22" s="22"/>
    </row>
    <row r="23" spans="1:7" ht="33" customHeight="1" x14ac:dyDescent="0.25">
      <c r="A23" s="31"/>
      <c r="B23" s="23">
        <v>14</v>
      </c>
      <c r="C23" s="24" t="s">
        <v>37</v>
      </c>
      <c r="D23" s="30" t="s">
        <v>26</v>
      </c>
      <c r="E23" s="26" t="s">
        <v>21</v>
      </c>
      <c r="F23" s="27"/>
      <c r="G23" s="27"/>
    </row>
    <row r="24" spans="1:7" ht="33" customHeight="1" x14ac:dyDescent="0.25">
      <c r="A24" s="31"/>
      <c r="B24" s="18">
        <v>15</v>
      </c>
      <c r="C24" s="19" t="s">
        <v>38</v>
      </c>
      <c r="D24" s="28" t="s">
        <v>26</v>
      </c>
      <c r="E24" s="21" t="s">
        <v>21</v>
      </c>
      <c r="F24" s="22"/>
      <c r="G24" s="22"/>
    </row>
    <row r="25" spans="1:7" ht="33" customHeight="1" x14ac:dyDescent="0.25">
      <c r="A25" s="31"/>
      <c r="B25" s="23">
        <v>16</v>
      </c>
      <c r="C25" s="24" t="s">
        <v>39</v>
      </c>
      <c r="D25" s="30" t="s">
        <v>26</v>
      </c>
      <c r="E25" s="26" t="s">
        <v>21</v>
      </c>
      <c r="F25" s="27"/>
      <c r="G25" s="27"/>
    </row>
    <row r="26" spans="1:7" ht="33" customHeight="1" x14ac:dyDescent="0.25">
      <c r="A26" s="32" t="s">
        <v>40</v>
      </c>
      <c r="B26" s="18">
        <v>17</v>
      </c>
      <c r="C26" s="19" t="s">
        <v>41</v>
      </c>
      <c r="D26" s="20" t="s">
        <v>20</v>
      </c>
      <c r="E26" s="21" t="s">
        <v>21</v>
      </c>
      <c r="F26" s="22"/>
      <c r="G26" s="22"/>
    </row>
    <row r="27" spans="1:7" ht="33" customHeight="1" x14ac:dyDescent="0.25">
      <c r="A27" s="32"/>
      <c r="B27" s="23">
        <v>18</v>
      </c>
      <c r="C27" s="24" t="s">
        <v>42</v>
      </c>
      <c r="D27" s="25" t="s">
        <v>20</v>
      </c>
      <c r="E27" s="26" t="s">
        <v>21</v>
      </c>
      <c r="F27" s="27"/>
      <c r="G27" s="27"/>
    </row>
    <row r="28" spans="1:7" ht="33" customHeight="1" x14ac:dyDescent="0.25">
      <c r="A28" s="32"/>
      <c r="B28" s="18">
        <v>19</v>
      </c>
      <c r="C28" s="19" t="s">
        <v>43</v>
      </c>
      <c r="D28" s="28" t="s">
        <v>26</v>
      </c>
      <c r="E28" s="21" t="s">
        <v>21</v>
      </c>
      <c r="F28" s="22"/>
      <c r="G28" s="22"/>
    </row>
    <row r="29" spans="1:7" ht="33" customHeight="1" x14ac:dyDescent="0.25">
      <c r="A29" s="32"/>
      <c r="B29" s="23">
        <v>20</v>
      </c>
      <c r="C29" s="24" t="s">
        <v>44</v>
      </c>
      <c r="D29" s="30" t="s">
        <v>26</v>
      </c>
      <c r="E29" s="26" t="s">
        <v>21</v>
      </c>
      <c r="F29" s="27"/>
      <c r="G29" s="27"/>
    </row>
    <row r="30" spans="1:7" ht="33" customHeight="1" x14ac:dyDescent="0.25">
      <c r="A30" s="32"/>
      <c r="B30" s="18">
        <v>21</v>
      </c>
      <c r="C30" s="19" t="s">
        <v>45</v>
      </c>
      <c r="D30" s="28" t="s">
        <v>26</v>
      </c>
      <c r="E30" s="21" t="s">
        <v>21</v>
      </c>
      <c r="F30" s="22"/>
      <c r="G30" s="22"/>
    </row>
    <row r="31" spans="1:7" ht="33" customHeight="1" x14ac:dyDescent="0.25">
      <c r="A31" s="33" t="s">
        <v>46</v>
      </c>
      <c r="B31" s="23">
        <v>22</v>
      </c>
      <c r="C31" s="24" t="s">
        <v>47</v>
      </c>
      <c r="D31" s="25" t="s">
        <v>20</v>
      </c>
      <c r="E31" s="26" t="s">
        <v>21</v>
      </c>
      <c r="F31" s="27"/>
      <c r="G31" s="27"/>
    </row>
    <row r="32" spans="1:7" ht="33" customHeight="1" x14ac:dyDescent="0.25">
      <c r="A32" s="33"/>
      <c r="B32" s="18">
        <v>23</v>
      </c>
      <c r="C32" s="19" t="s">
        <v>48</v>
      </c>
      <c r="D32" s="20" t="s">
        <v>20</v>
      </c>
      <c r="E32" s="21" t="s">
        <v>21</v>
      </c>
      <c r="F32" s="22"/>
      <c r="G32" s="22"/>
    </row>
    <row r="33" spans="1:7" ht="33" customHeight="1" x14ac:dyDescent="0.25">
      <c r="A33" s="33"/>
      <c r="B33" s="23">
        <v>24</v>
      </c>
      <c r="C33" s="24" t="s">
        <v>49</v>
      </c>
      <c r="D33" s="25" t="s">
        <v>20</v>
      </c>
      <c r="E33" s="26" t="s">
        <v>21</v>
      </c>
      <c r="F33" s="27"/>
      <c r="G33" s="27"/>
    </row>
    <row r="34" spans="1:7" ht="33" customHeight="1" x14ac:dyDescent="0.25">
      <c r="A34" s="33"/>
      <c r="B34" s="18">
        <v>25</v>
      </c>
      <c r="C34" s="19" t="s">
        <v>50</v>
      </c>
      <c r="D34" s="28" t="s">
        <v>26</v>
      </c>
      <c r="E34" s="21" t="s">
        <v>21</v>
      </c>
      <c r="F34" s="22"/>
      <c r="G34" s="22"/>
    </row>
    <row r="35" spans="1:7" ht="33" customHeight="1" x14ac:dyDescent="0.25">
      <c r="A35" s="33"/>
      <c r="B35" s="23">
        <v>26</v>
      </c>
      <c r="C35" s="24" t="s">
        <v>51</v>
      </c>
      <c r="D35" s="30" t="s">
        <v>26</v>
      </c>
      <c r="E35" s="26" t="s">
        <v>21</v>
      </c>
      <c r="F35" s="27"/>
      <c r="G35" s="27"/>
    </row>
    <row r="37" spans="1:7" ht="19.5" customHeight="1" x14ac:dyDescent="0.25">
      <c r="A37" s="8" t="s">
        <v>52</v>
      </c>
      <c r="B37" s="8"/>
      <c r="C37" s="8"/>
      <c r="D37" s="8"/>
      <c r="E37" s="8"/>
      <c r="F37" s="8"/>
      <c r="G37" s="8"/>
    </row>
    <row r="38" spans="1:7" ht="19.5" customHeight="1" x14ac:dyDescent="0.25">
      <c r="A38" s="7" t="s">
        <v>53</v>
      </c>
      <c r="B38" s="7"/>
      <c r="C38" s="7"/>
      <c r="D38" s="34">
        <f>COUNTIF($D$10:$D$35,"Obligatorio")</f>
        <v>13</v>
      </c>
    </row>
    <row r="39" spans="1:7" ht="19.5" customHeight="1" x14ac:dyDescent="0.25">
      <c r="A39" s="6" t="s">
        <v>54</v>
      </c>
      <c r="B39" s="6"/>
      <c r="C39" s="6"/>
      <c r="D39" s="35">
        <f>COUNTIFS($D$10:$D$35,"Obligatorio",$E$10:$E$35,"Sí")+COUNTIFS($D$10:$D$35,"Obligatorio",$E$10:$E$35,"No aplica")</f>
        <v>0</v>
      </c>
    </row>
    <row r="40" spans="1:7" ht="19.5" customHeight="1" x14ac:dyDescent="0.25">
      <c r="A40" s="7" t="s">
        <v>55</v>
      </c>
      <c r="B40" s="7"/>
      <c r="C40" s="7"/>
      <c r="D40" s="34">
        <f>COUNTIFS($D$10:$D$35,"Obligatorio",$E$10:$E$35,"No")+COUNTIFS($D$10:$D$35,"Obligatorio",$E$10:$E$35,"Parcial")</f>
        <v>0</v>
      </c>
    </row>
    <row r="41" spans="1:7" ht="19.5" customHeight="1" x14ac:dyDescent="0.25">
      <c r="A41" s="6" t="s">
        <v>56</v>
      </c>
      <c r="B41" s="6"/>
      <c r="C41" s="6"/>
      <c r="D41" s="35">
        <f>COUNTIFS($D$10:$D$35,"Obligatorio",$E$10:$E$35,"Sin evaluar")</f>
        <v>13</v>
      </c>
    </row>
    <row r="42" spans="1:7" ht="19.5" customHeight="1" x14ac:dyDescent="0.25">
      <c r="A42" s="7" t="s">
        <v>57</v>
      </c>
      <c r="B42" s="7"/>
      <c r="C42" s="7"/>
      <c r="D42" s="36">
        <f>IFERROR(COUNTIFS($D$10:$D$35,"Complementario",$E$10:$E$35,"Sí")/(COUNTIF($D$10:$D$35,"Complementario")-COUNTIFS($D$10:$D$35,"Complementario",$E$10:$E$35,"No aplica")),0)</f>
        <v>0</v>
      </c>
    </row>
    <row r="43" spans="1:7" ht="25.5" customHeight="1" x14ac:dyDescent="0.25">
      <c r="A43" s="5" t="s">
        <v>58</v>
      </c>
      <c r="B43" s="5"/>
      <c r="C43" s="5"/>
      <c r="D43" s="4" t="str">
        <f>IF(D41&gt;0,"EVALUACIÓN INCOMPLETA",IF(D40&gt;0,"NO ACREDITABLE","ACREDITABLE — registrar en Proveedores Autorizados"))</f>
        <v>EVALUACIÓN INCOMPLETA</v>
      </c>
      <c r="E43" s="4"/>
      <c r="F43" s="4"/>
      <c r="G43" s="4"/>
    </row>
    <row r="44" spans="1:7" ht="30" customHeight="1" x14ac:dyDescent="0.25">
      <c r="A44" s="3" t="s">
        <v>59</v>
      </c>
      <c r="B44" s="3"/>
      <c r="C44" s="3"/>
      <c r="D44" s="3"/>
      <c r="E44" s="3"/>
      <c r="F44" s="3"/>
      <c r="G44" s="3"/>
    </row>
  </sheetData>
  <mergeCells count="24">
    <mergeCell ref="D43:G43"/>
    <mergeCell ref="A44:G44"/>
    <mergeCell ref="A39:C39"/>
    <mergeCell ref="A40:C40"/>
    <mergeCell ref="A41:C41"/>
    <mergeCell ref="A42:C42"/>
    <mergeCell ref="A43:C43"/>
    <mergeCell ref="A7:B7"/>
    <mergeCell ref="D7:E7"/>
    <mergeCell ref="F7:G7"/>
    <mergeCell ref="A37:G37"/>
    <mergeCell ref="A38:C38"/>
    <mergeCell ref="A5:B5"/>
    <mergeCell ref="D5:E5"/>
    <mergeCell ref="F5:G5"/>
    <mergeCell ref="A6:B6"/>
    <mergeCell ref="D6:E6"/>
    <mergeCell ref="F6:G6"/>
    <mergeCell ref="A1:G1"/>
    <mergeCell ref="A2:G2"/>
    <mergeCell ref="A3:G3"/>
    <mergeCell ref="A4:B4"/>
    <mergeCell ref="D4:E4"/>
    <mergeCell ref="F4:G4"/>
  </mergeCells>
  <conditionalFormatting sqref="D43">
    <cfRule type="expression" dxfId="10" priority="5">
      <formula>LEFT($D$43,14)="NO ACREDITABLE"</formula>
    </cfRule>
    <cfRule type="expression" dxfId="9" priority="6">
      <formula>LEFT($D$43,11)="ACREDITABLE"</formula>
    </cfRule>
    <cfRule type="expression" dxfId="8" priority="7">
      <formula>LEFT($D$43,21)="EVALUACIÓN INCOMPLETA"</formula>
    </cfRule>
  </conditionalFormatting>
  <conditionalFormatting sqref="E10:E35">
    <cfRule type="cellIs" dxfId="7" priority="2" operator="equal">
      <formula>"Sí"</formula>
    </cfRule>
    <cfRule type="cellIs" dxfId="6" priority="3" operator="equal">
      <formula>"No"</formula>
    </cfRule>
    <cfRule type="cellIs" dxfId="5" priority="4" operator="equal">
      <formula>"Parcial"</formula>
    </cfRule>
  </conditionalFormatting>
  <dataValidations count="5">
    <dataValidation type="list" allowBlank="1" sqref="C5" xr:uid="{00000000-0002-0000-0000-000000000000}">
      <formula1>"Destrucción física,Borrado lógico,Destrucción física y borrado lógico"</formula1>
      <formula2>0</formula2>
    </dataValidation>
    <dataValidation type="list" allowBlank="1" sqref="F5" xr:uid="{00000000-0002-0000-0000-000001000000}">
      <formula1>"En sitio (instalaciones de la organización),En planta del proveedor,Ambas"</formula1>
      <formula2>0</formula2>
    </dataValidation>
    <dataValidation type="list" allowBlank="1" sqref="F6" xr:uid="{00000000-0002-0000-0000-000002000000}">
      <formula1>"Baja,Media,Alta"</formula1>
      <formula2>0</formula2>
    </dataValidation>
    <dataValidation type="date" operator="greaterThan" allowBlank="1" sqref="F7" xr:uid="{00000000-0002-0000-0000-000003000000}">
      <formula1>36526</formula1>
      <formula2>0</formula2>
    </dataValidation>
    <dataValidation type="list" sqref="E10:E35" xr:uid="{00000000-0002-0000-0000-000004000000}">
      <formula1>"Sin evaluar,Sí,Parcial,No,No aplica"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5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Q1"/>
    </sheetView>
  </sheetViews>
  <sheetFormatPr baseColWidth="10" defaultColWidth="8.7109375" defaultRowHeight="15" x14ac:dyDescent="0.25"/>
  <cols>
    <col min="1" max="1" width="9" customWidth="1"/>
    <col min="2" max="2" width="28" customWidth="1"/>
    <col min="3" max="3" width="16" customWidth="1"/>
    <col min="4" max="4" width="22" customWidth="1"/>
    <col min="5" max="8" width="13" customWidth="1"/>
    <col min="9" max="9" width="12" customWidth="1"/>
    <col min="10" max="11" width="13" customWidth="1"/>
    <col min="12" max="12" width="14" customWidth="1"/>
    <col min="13" max="14" width="20" customWidth="1"/>
    <col min="15" max="15" width="16" customWidth="1"/>
    <col min="16" max="16" width="20" customWidth="1"/>
    <col min="17" max="17" width="32" customWidth="1"/>
  </cols>
  <sheetData>
    <row r="1" spans="1:17" ht="27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21.75" customHeight="1" x14ac:dyDescent="0.25">
      <c r="A2" s="13" t="s">
        <v>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3" customHeight="1" x14ac:dyDescent="0.25">
      <c r="A3" s="16" t="s">
        <v>61</v>
      </c>
      <c r="B3" s="16" t="s">
        <v>3</v>
      </c>
      <c r="C3" s="16" t="s">
        <v>62</v>
      </c>
      <c r="D3" s="16" t="s">
        <v>63</v>
      </c>
      <c r="E3" s="16" t="s">
        <v>64</v>
      </c>
      <c r="F3" s="16" t="s">
        <v>65</v>
      </c>
      <c r="G3" s="16" t="s">
        <v>66</v>
      </c>
      <c r="H3" s="16" t="s">
        <v>67</v>
      </c>
      <c r="I3" s="16" t="s">
        <v>68</v>
      </c>
      <c r="J3" s="16" t="s">
        <v>69</v>
      </c>
      <c r="K3" s="16" t="s">
        <v>70</v>
      </c>
      <c r="L3" s="16" t="s">
        <v>71</v>
      </c>
      <c r="M3" s="16" t="s">
        <v>72</v>
      </c>
      <c r="N3" s="16" t="s">
        <v>73</v>
      </c>
      <c r="O3" s="16" t="s">
        <v>74</v>
      </c>
      <c r="P3" s="16" t="s">
        <v>75</v>
      </c>
      <c r="Q3" s="16" t="s">
        <v>17</v>
      </c>
    </row>
    <row r="4" spans="1:17" ht="21.75" customHeight="1" x14ac:dyDescent="0.25">
      <c r="A4" s="18" t="s">
        <v>76</v>
      </c>
      <c r="B4" s="37" t="s">
        <v>77</v>
      </c>
      <c r="C4" s="28" t="s">
        <v>78</v>
      </c>
      <c r="D4" s="28" t="s">
        <v>79</v>
      </c>
      <c r="E4" s="38">
        <v>46446</v>
      </c>
      <c r="F4" s="38">
        <v>46356</v>
      </c>
      <c r="G4" s="38"/>
      <c r="H4" s="28" t="s">
        <v>80</v>
      </c>
      <c r="I4" s="28" t="s">
        <v>80</v>
      </c>
      <c r="J4" s="38">
        <v>46096</v>
      </c>
      <c r="K4" s="38">
        <f t="shared" ref="K4:K33" si="0">IF(J4="","",EDATE(J4,12))</f>
        <v>46461</v>
      </c>
      <c r="L4" s="28" t="s">
        <v>81</v>
      </c>
      <c r="M4" s="28" t="str">
        <f t="shared" ref="M4:M33" ca="1" si="1">IF(B4="","",IF(COUNT(E4:G4)=0,"Sin certificación",IF(MIN(E4:G4)&lt;TODAY(),"Certificación vencida",IF(MIN(E4:G4)-TODAY()&lt;=60,"Vence en ≤60 días","Vigente"))))</f>
        <v>Vigente</v>
      </c>
      <c r="N4" s="28" t="str">
        <f t="shared" ref="N4:N33" ca="1" si="2">IF(OR(B4="",K4=""),"",IF(K4&lt;TODAY(),"Reevaluación vencida",IF(K4-TODAY()&lt;=30,"Vence en ≤30 días","Vigente")))</f>
        <v>Vigente</v>
      </c>
      <c r="O4" s="28" t="str">
        <f t="shared" ref="O4:O33" ca="1" si="3">IF(B4="","",IF(AND(L4="Autorizado",H4="Sí",I4="Sí",OR(M4="Vigente",M4="Vence en ≤60 días"),OR(N4="Vigente",N4="Vence en ≤30 días")),"SÍ","NO"))</f>
        <v>SÍ</v>
      </c>
      <c r="P4" s="22" t="s">
        <v>82</v>
      </c>
      <c r="Q4" s="39" t="s">
        <v>83</v>
      </c>
    </row>
    <row r="5" spans="1:17" ht="21.75" customHeight="1" x14ac:dyDescent="0.25">
      <c r="A5" s="23" t="s">
        <v>84</v>
      </c>
      <c r="B5" s="24"/>
      <c r="C5" s="30"/>
      <c r="D5" s="30"/>
      <c r="E5" s="40"/>
      <c r="F5" s="40"/>
      <c r="G5" s="40"/>
      <c r="H5" s="30"/>
      <c r="I5" s="30"/>
      <c r="J5" s="40"/>
      <c r="K5" s="40" t="str">
        <f t="shared" si="0"/>
        <v/>
      </c>
      <c r="L5" s="30"/>
      <c r="M5" s="30" t="str">
        <f t="shared" ca="1" si="1"/>
        <v/>
      </c>
      <c r="N5" s="30" t="str">
        <f t="shared" ca="1" si="2"/>
        <v/>
      </c>
      <c r="O5" s="30" t="str">
        <f t="shared" si="3"/>
        <v/>
      </c>
      <c r="P5" s="27"/>
      <c r="Q5" s="27"/>
    </row>
    <row r="6" spans="1:17" ht="21.75" customHeight="1" x14ac:dyDescent="0.25">
      <c r="A6" s="18" t="s">
        <v>85</v>
      </c>
      <c r="B6" s="19"/>
      <c r="C6" s="28"/>
      <c r="D6" s="28"/>
      <c r="E6" s="38"/>
      <c r="F6" s="38"/>
      <c r="G6" s="38"/>
      <c r="H6" s="28"/>
      <c r="I6" s="28"/>
      <c r="J6" s="38"/>
      <c r="K6" s="38" t="str">
        <f t="shared" si="0"/>
        <v/>
      </c>
      <c r="L6" s="28"/>
      <c r="M6" s="28" t="str">
        <f t="shared" ca="1" si="1"/>
        <v/>
      </c>
      <c r="N6" s="28" t="str">
        <f t="shared" ca="1" si="2"/>
        <v/>
      </c>
      <c r="O6" s="28" t="str">
        <f t="shared" si="3"/>
        <v/>
      </c>
      <c r="P6" s="22"/>
      <c r="Q6" s="22"/>
    </row>
    <row r="7" spans="1:17" ht="21.75" customHeight="1" x14ac:dyDescent="0.25">
      <c r="A7" s="23" t="s">
        <v>86</v>
      </c>
      <c r="B7" s="24"/>
      <c r="C7" s="30"/>
      <c r="D7" s="30"/>
      <c r="E7" s="40"/>
      <c r="F7" s="40"/>
      <c r="G7" s="40"/>
      <c r="H7" s="30"/>
      <c r="I7" s="30"/>
      <c r="J7" s="40"/>
      <c r="K7" s="40" t="str">
        <f t="shared" si="0"/>
        <v/>
      </c>
      <c r="L7" s="30"/>
      <c r="M7" s="30" t="str">
        <f t="shared" ca="1" si="1"/>
        <v/>
      </c>
      <c r="N7" s="30" t="str">
        <f t="shared" ca="1" si="2"/>
        <v/>
      </c>
      <c r="O7" s="30" t="str">
        <f t="shared" si="3"/>
        <v/>
      </c>
      <c r="P7" s="27"/>
      <c r="Q7" s="27"/>
    </row>
    <row r="8" spans="1:17" ht="21.75" customHeight="1" x14ac:dyDescent="0.25">
      <c r="A8" s="18" t="s">
        <v>87</v>
      </c>
      <c r="B8" s="19"/>
      <c r="C8" s="28"/>
      <c r="D8" s="28"/>
      <c r="E8" s="38"/>
      <c r="F8" s="38"/>
      <c r="G8" s="38"/>
      <c r="H8" s="28"/>
      <c r="I8" s="28"/>
      <c r="J8" s="38"/>
      <c r="K8" s="38" t="str">
        <f t="shared" si="0"/>
        <v/>
      </c>
      <c r="L8" s="28"/>
      <c r="M8" s="28" t="str">
        <f t="shared" ca="1" si="1"/>
        <v/>
      </c>
      <c r="N8" s="28" t="str">
        <f t="shared" ca="1" si="2"/>
        <v/>
      </c>
      <c r="O8" s="28" t="str">
        <f t="shared" si="3"/>
        <v/>
      </c>
      <c r="P8" s="22"/>
      <c r="Q8" s="22"/>
    </row>
    <row r="9" spans="1:17" ht="21.75" customHeight="1" x14ac:dyDescent="0.25">
      <c r="A9" s="23" t="s">
        <v>88</v>
      </c>
      <c r="B9" s="24"/>
      <c r="C9" s="30"/>
      <c r="D9" s="30"/>
      <c r="E9" s="40"/>
      <c r="F9" s="40"/>
      <c r="G9" s="40"/>
      <c r="H9" s="30"/>
      <c r="I9" s="30"/>
      <c r="J9" s="40"/>
      <c r="K9" s="40" t="str">
        <f t="shared" si="0"/>
        <v/>
      </c>
      <c r="L9" s="30"/>
      <c r="M9" s="30" t="str">
        <f t="shared" ca="1" si="1"/>
        <v/>
      </c>
      <c r="N9" s="30" t="str">
        <f t="shared" ca="1" si="2"/>
        <v/>
      </c>
      <c r="O9" s="30" t="str">
        <f t="shared" si="3"/>
        <v/>
      </c>
      <c r="P9" s="27"/>
      <c r="Q9" s="27"/>
    </row>
    <row r="10" spans="1:17" ht="21.75" customHeight="1" x14ac:dyDescent="0.25">
      <c r="A10" s="18" t="s">
        <v>89</v>
      </c>
      <c r="B10" s="19"/>
      <c r="C10" s="28"/>
      <c r="D10" s="28"/>
      <c r="E10" s="38"/>
      <c r="F10" s="38"/>
      <c r="G10" s="38"/>
      <c r="H10" s="28"/>
      <c r="I10" s="28"/>
      <c r="J10" s="38"/>
      <c r="K10" s="38" t="str">
        <f t="shared" si="0"/>
        <v/>
      </c>
      <c r="L10" s="28"/>
      <c r="M10" s="28" t="str">
        <f t="shared" ca="1" si="1"/>
        <v/>
      </c>
      <c r="N10" s="28" t="str">
        <f t="shared" ca="1" si="2"/>
        <v/>
      </c>
      <c r="O10" s="28" t="str">
        <f t="shared" si="3"/>
        <v/>
      </c>
      <c r="P10" s="22"/>
      <c r="Q10" s="22"/>
    </row>
    <row r="11" spans="1:17" ht="21.75" customHeight="1" x14ac:dyDescent="0.25">
      <c r="A11" s="23" t="s">
        <v>90</v>
      </c>
      <c r="B11" s="24"/>
      <c r="C11" s="30"/>
      <c r="D11" s="30"/>
      <c r="E11" s="40"/>
      <c r="F11" s="40"/>
      <c r="G11" s="40"/>
      <c r="H11" s="30"/>
      <c r="I11" s="30"/>
      <c r="J11" s="40"/>
      <c r="K11" s="40" t="str">
        <f t="shared" si="0"/>
        <v/>
      </c>
      <c r="L11" s="30"/>
      <c r="M11" s="30" t="str">
        <f t="shared" ca="1" si="1"/>
        <v/>
      </c>
      <c r="N11" s="30" t="str">
        <f t="shared" ca="1" si="2"/>
        <v/>
      </c>
      <c r="O11" s="30" t="str">
        <f t="shared" si="3"/>
        <v/>
      </c>
      <c r="P11" s="27"/>
      <c r="Q11" s="27"/>
    </row>
    <row r="12" spans="1:17" ht="21.75" customHeight="1" x14ac:dyDescent="0.25">
      <c r="A12" s="18" t="s">
        <v>91</v>
      </c>
      <c r="B12" s="19"/>
      <c r="C12" s="28"/>
      <c r="D12" s="28"/>
      <c r="E12" s="38"/>
      <c r="F12" s="38"/>
      <c r="G12" s="38"/>
      <c r="H12" s="28"/>
      <c r="I12" s="28"/>
      <c r="J12" s="38"/>
      <c r="K12" s="38" t="str">
        <f t="shared" si="0"/>
        <v/>
      </c>
      <c r="L12" s="28"/>
      <c r="M12" s="28" t="str">
        <f t="shared" ca="1" si="1"/>
        <v/>
      </c>
      <c r="N12" s="28" t="str">
        <f t="shared" ca="1" si="2"/>
        <v/>
      </c>
      <c r="O12" s="28" t="str">
        <f t="shared" si="3"/>
        <v/>
      </c>
      <c r="P12" s="22"/>
      <c r="Q12" s="22"/>
    </row>
    <row r="13" spans="1:17" ht="21.75" customHeight="1" x14ac:dyDescent="0.25">
      <c r="A13" s="23" t="s">
        <v>92</v>
      </c>
      <c r="B13" s="24"/>
      <c r="C13" s="30"/>
      <c r="D13" s="30"/>
      <c r="E13" s="40"/>
      <c r="F13" s="40"/>
      <c r="G13" s="40"/>
      <c r="H13" s="30"/>
      <c r="I13" s="30"/>
      <c r="J13" s="40"/>
      <c r="K13" s="40" t="str">
        <f t="shared" si="0"/>
        <v/>
      </c>
      <c r="L13" s="30"/>
      <c r="M13" s="30" t="str">
        <f t="shared" ca="1" si="1"/>
        <v/>
      </c>
      <c r="N13" s="30" t="str">
        <f t="shared" ca="1" si="2"/>
        <v/>
      </c>
      <c r="O13" s="30" t="str">
        <f t="shared" si="3"/>
        <v/>
      </c>
      <c r="P13" s="27"/>
      <c r="Q13" s="27"/>
    </row>
    <row r="14" spans="1:17" ht="21.75" customHeight="1" x14ac:dyDescent="0.25">
      <c r="A14" s="18" t="s">
        <v>93</v>
      </c>
      <c r="B14" s="19"/>
      <c r="C14" s="28"/>
      <c r="D14" s="28"/>
      <c r="E14" s="38"/>
      <c r="F14" s="38"/>
      <c r="G14" s="38"/>
      <c r="H14" s="28"/>
      <c r="I14" s="28"/>
      <c r="J14" s="38"/>
      <c r="K14" s="38" t="str">
        <f t="shared" si="0"/>
        <v/>
      </c>
      <c r="L14" s="28"/>
      <c r="M14" s="28" t="str">
        <f t="shared" ca="1" si="1"/>
        <v/>
      </c>
      <c r="N14" s="28" t="str">
        <f t="shared" ca="1" si="2"/>
        <v/>
      </c>
      <c r="O14" s="28" t="str">
        <f t="shared" si="3"/>
        <v/>
      </c>
      <c r="P14" s="22"/>
      <c r="Q14" s="22"/>
    </row>
    <row r="15" spans="1:17" ht="21.75" customHeight="1" x14ac:dyDescent="0.25">
      <c r="A15" s="23" t="s">
        <v>94</v>
      </c>
      <c r="B15" s="24"/>
      <c r="C15" s="30"/>
      <c r="D15" s="30"/>
      <c r="E15" s="40"/>
      <c r="F15" s="40"/>
      <c r="G15" s="40"/>
      <c r="H15" s="30"/>
      <c r="I15" s="30"/>
      <c r="J15" s="40"/>
      <c r="K15" s="40" t="str">
        <f t="shared" si="0"/>
        <v/>
      </c>
      <c r="L15" s="30"/>
      <c r="M15" s="30" t="str">
        <f t="shared" ca="1" si="1"/>
        <v/>
      </c>
      <c r="N15" s="30" t="str">
        <f t="shared" ca="1" si="2"/>
        <v/>
      </c>
      <c r="O15" s="30" t="str">
        <f t="shared" si="3"/>
        <v/>
      </c>
      <c r="P15" s="27"/>
      <c r="Q15" s="27"/>
    </row>
    <row r="16" spans="1:17" ht="21.75" customHeight="1" x14ac:dyDescent="0.25">
      <c r="A16" s="18" t="s">
        <v>95</v>
      </c>
      <c r="B16" s="19"/>
      <c r="C16" s="28"/>
      <c r="D16" s="28"/>
      <c r="E16" s="38"/>
      <c r="F16" s="38"/>
      <c r="G16" s="38"/>
      <c r="H16" s="28"/>
      <c r="I16" s="28"/>
      <c r="J16" s="38"/>
      <c r="K16" s="38" t="str">
        <f t="shared" si="0"/>
        <v/>
      </c>
      <c r="L16" s="28"/>
      <c r="M16" s="28" t="str">
        <f t="shared" ca="1" si="1"/>
        <v/>
      </c>
      <c r="N16" s="28" t="str">
        <f t="shared" ca="1" si="2"/>
        <v/>
      </c>
      <c r="O16" s="28" t="str">
        <f t="shared" si="3"/>
        <v/>
      </c>
      <c r="P16" s="22"/>
      <c r="Q16" s="22"/>
    </row>
    <row r="17" spans="1:17" ht="21.75" customHeight="1" x14ac:dyDescent="0.25">
      <c r="A17" s="23" t="s">
        <v>96</v>
      </c>
      <c r="B17" s="24"/>
      <c r="C17" s="30"/>
      <c r="D17" s="30"/>
      <c r="E17" s="40"/>
      <c r="F17" s="40"/>
      <c r="G17" s="40"/>
      <c r="H17" s="30"/>
      <c r="I17" s="30"/>
      <c r="J17" s="40"/>
      <c r="K17" s="40" t="str">
        <f t="shared" si="0"/>
        <v/>
      </c>
      <c r="L17" s="30"/>
      <c r="M17" s="30" t="str">
        <f t="shared" ca="1" si="1"/>
        <v/>
      </c>
      <c r="N17" s="30" t="str">
        <f t="shared" ca="1" si="2"/>
        <v/>
      </c>
      <c r="O17" s="30" t="str">
        <f t="shared" si="3"/>
        <v/>
      </c>
      <c r="P17" s="27"/>
      <c r="Q17" s="27"/>
    </row>
    <row r="18" spans="1:17" ht="21.75" customHeight="1" x14ac:dyDescent="0.25">
      <c r="A18" s="18" t="s">
        <v>97</v>
      </c>
      <c r="B18" s="19"/>
      <c r="C18" s="28"/>
      <c r="D18" s="28"/>
      <c r="E18" s="38"/>
      <c r="F18" s="38"/>
      <c r="G18" s="38"/>
      <c r="H18" s="28"/>
      <c r="I18" s="28"/>
      <c r="J18" s="38"/>
      <c r="K18" s="38" t="str">
        <f t="shared" si="0"/>
        <v/>
      </c>
      <c r="L18" s="28"/>
      <c r="M18" s="28" t="str">
        <f t="shared" ca="1" si="1"/>
        <v/>
      </c>
      <c r="N18" s="28" t="str">
        <f t="shared" ca="1" si="2"/>
        <v/>
      </c>
      <c r="O18" s="28" t="str">
        <f t="shared" si="3"/>
        <v/>
      </c>
      <c r="P18" s="22"/>
      <c r="Q18" s="22"/>
    </row>
    <row r="19" spans="1:17" ht="21.75" customHeight="1" x14ac:dyDescent="0.25">
      <c r="A19" s="23" t="s">
        <v>98</v>
      </c>
      <c r="B19" s="24"/>
      <c r="C19" s="30"/>
      <c r="D19" s="30"/>
      <c r="E19" s="40"/>
      <c r="F19" s="40"/>
      <c r="G19" s="40"/>
      <c r="H19" s="30"/>
      <c r="I19" s="30"/>
      <c r="J19" s="40"/>
      <c r="K19" s="40" t="str">
        <f t="shared" si="0"/>
        <v/>
      </c>
      <c r="L19" s="30"/>
      <c r="M19" s="30" t="str">
        <f t="shared" ca="1" si="1"/>
        <v/>
      </c>
      <c r="N19" s="30" t="str">
        <f t="shared" ca="1" si="2"/>
        <v/>
      </c>
      <c r="O19" s="30" t="str">
        <f t="shared" si="3"/>
        <v/>
      </c>
      <c r="P19" s="27"/>
      <c r="Q19" s="27"/>
    </row>
    <row r="20" spans="1:17" ht="21.75" customHeight="1" x14ac:dyDescent="0.25">
      <c r="A20" s="18" t="s">
        <v>99</v>
      </c>
      <c r="B20" s="19"/>
      <c r="C20" s="28"/>
      <c r="D20" s="28"/>
      <c r="E20" s="38"/>
      <c r="F20" s="38"/>
      <c r="G20" s="38"/>
      <c r="H20" s="28"/>
      <c r="I20" s="28"/>
      <c r="J20" s="38"/>
      <c r="K20" s="38" t="str">
        <f t="shared" si="0"/>
        <v/>
      </c>
      <c r="L20" s="28"/>
      <c r="M20" s="28" t="str">
        <f t="shared" ca="1" si="1"/>
        <v/>
      </c>
      <c r="N20" s="28" t="str">
        <f t="shared" ca="1" si="2"/>
        <v/>
      </c>
      <c r="O20" s="28" t="str">
        <f t="shared" si="3"/>
        <v/>
      </c>
      <c r="P20" s="22"/>
      <c r="Q20" s="22"/>
    </row>
    <row r="21" spans="1:17" ht="21.75" customHeight="1" x14ac:dyDescent="0.25">
      <c r="A21" s="23" t="s">
        <v>100</v>
      </c>
      <c r="B21" s="24"/>
      <c r="C21" s="30"/>
      <c r="D21" s="30"/>
      <c r="E21" s="40"/>
      <c r="F21" s="40"/>
      <c r="G21" s="40"/>
      <c r="H21" s="30"/>
      <c r="I21" s="30"/>
      <c r="J21" s="40"/>
      <c r="K21" s="40" t="str">
        <f t="shared" si="0"/>
        <v/>
      </c>
      <c r="L21" s="30"/>
      <c r="M21" s="30" t="str">
        <f t="shared" ca="1" si="1"/>
        <v/>
      </c>
      <c r="N21" s="30" t="str">
        <f t="shared" ca="1" si="2"/>
        <v/>
      </c>
      <c r="O21" s="30" t="str">
        <f t="shared" si="3"/>
        <v/>
      </c>
      <c r="P21" s="27"/>
      <c r="Q21" s="27"/>
    </row>
    <row r="22" spans="1:17" ht="21.75" customHeight="1" x14ac:dyDescent="0.25">
      <c r="A22" s="18" t="s">
        <v>101</v>
      </c>
      <c r="B22" s="19"/>
      <c r="C22" s="28"/>
      <c r="D22" s="28"/>
      <c r="E22" s="38"/>
      <c r="F22" s="38"/>
      <c r="G22" s="38"/>
      <c r="H22" s="28"/>
      <c r="I22" s="28"/>
      <c r="J22" s="38"/>
      <c r="K22" s="38" t="str">
        <f t="shared" si="0"/>
        <v/>
      </c>
      <c r="L22" s="28"/>
      <c r="M22" s="28" t="str">
        <f t="shared" ca="1" si="1"/>
        <v/>
      </c>
      <c r="N22" s="28" t="str">
        <f t="shared" ca="1" si="2"/>
        <v/>
      </c>
      <c r="O22" s="28" t="str">
        <f t="shared" si="3"/>
        <v/>
      </c>
      <c r="P22" s="22"/>
      <c r="Q22" s="22"/>
    </row>
    <row r="23" spans="1:17" ht="21.75" customHeight="1" x14ac:dyDescent="0.25">
      <c r="A23" s="23" t="s">
        <v>102</v>
      </c>
      <c r="B23" s="24"/>
      <c r="C23" s="30"/>
      <c r="D23" s="30"/>
      <c r="E23" s="40"/>
      <c r="F23" s="40"/>
      <c r="G23" s="40"/>
      <c r="H23" s="30"/>
      <c r="I23" s="30"/>
      <c r="J23" s="40"/>
      <c r="K23" s="40" t="str">
        <f t="shared" si="0"/>
        <v/>
      </c>
      <c r="L23" s="30"/>
      <c r="M23" s="30" t="str">
        <f t="shared" ca="1" si="1"/>
        <v/>
      </c>
      <c r="N23" s="30" t="str">
        <f t="shared" ca="1" si="2"/>
        <v/>
      </c>
      <c r="O23" s="30" t="str">
        <f t="shared" si="3"/>
        <v/>
      </c>
      <c r="P23" s="27"/>
      <c r="Q23" s="27"/>
    </row>
    <row r="24" spans="1:17" ht="21.75" customHeight="1" x14ac:dyDescent="0.25">
      <c r="A24" s="18" t="s">
        <v>103</v>
      </c>
      <c r="B24" s="19"/>
      <c r="C24" s="28"/>
      <c r="D24" s="28"/>
      <c r="E24" s="38"/>
      <c r="F24" s="38"/>
      <c r="G24" s="38"/>
      <c r="H24" s="28"/>
      <c r="I24" s="28"/>
      <c r="J24" s="38"/>
      <c r="K24" s="38" t="str">
        <f t="shared" si="0"/>
        <v/>
      </c>
      <c r="L24" s="28"/>
      <c r="M24" s="28" t="str">
        <f t="shared" ca="1" si="1"/>
        <v/>
      </c>
      <c r="N24" s="28" t="str">
        <f t="shared" ca="1" si="2"/>
        <v/>
      </c>
      <c r="O24" s="28" t="str">
        <f t="shared" si="3"/>
        <v/>
      </c>
      <c r="P24" s="22"/>
      <c r="Q24" s="22"/>
    </row>
    <row r="25" spans="1:17" ht="21.75" customHeight="1" x14ac:dyDescent="0.25">
      <c r="A25" s="23" t="s">
        <v>104</v>
      </c>
      <c r="B25" s="24"/>
      <c r="C25" s="30"/>
      <c r="D25" s="30"/>
      <c r="E25" s="40"/>
      <c r="F25" s="40"/>
      <c r="G25" s="40"/>
      <c r="H25" s="30"/>
      <c r="I25" s="30"/>
      <c r="J25" s="40"/>
      <c r="K25" s="40" t="str">
        <f t="shared" si="0"/>
        <v/>
      </c>
      <c r="L25" s="30"/>
      <c r="M25" s="30" t="str">
        <f t="shared" ca="1" si="1"/>
        <v/>
      </c>
      <c r="N25" s="30" t="str">
        <f t="shared" ca="1" si="2"/>
        <v/>
      </c>
      <c r="O25" s="30" t="str">
        <f t="shared" si="3"/>
        <v/>
      </c>
      <c r="P25" s="27"/>
      <c r="Q25" s="27"/>
    </row>
    <row r="26" spans="1:17" ht="21.75" customHeight="1" x14ac:dyDescent="0.25">
      <c r="A26" s="18" t="s">
        <v>105</v>
      </c>
      <c r="B26" s="19"/>
      <c r="C26" s="28"/>
      <c r="D26" s="28"/>
      <c r="E26" s="38"/>
      <c r="F26" s="38"/>
      <c r="G26" s="38"/>
      <c r="H26" s="28"/>
      <c r="I26" s="28"/>
      <c r="J26" s="38"/>
      <c r="K26" s="38" t="str">
        <f t="shared" si="0"/>
        <v/>
      </c>
      <c r="L26" s="28"/>
      <c r="M26" s="28" t="str">
        <f t="shared" ca="1" si="1"/>
        <v/>
      </c>
      <c r="N26" s="28" t="str">
        <f t="shared" ca="1" si="2"/>
        <v/>
      </c>
      <c r="O26" s="28" t="str">
        <f t="shared" si="3"/>
        <v/>
      </c>
      <c r="P26" s="22"/>
      <c r="Q26" s="22"/>
    </row>
    <row r="27" spans="1:17" ht="21.75" customHeight="1" x14ac:dyDescent="0.25">
      <c r="A27" s="23" t="s">
        <v>106</v>
      </c>
      <c r="B27" s="24"/>
      <c r="C27" s="30"/>
      <c r="D27" s="30"/>
      <c r="E27" s="40"/>
      <c r="F27" s="40"/>
      <c r="G27" s="40"/>
      <c r="H27" s="30"/>
      <c r="I27" s="30"/>
      <c r="J27" s="40"/>
      <c r="K27" s="40" t="str">
        <f t="shared" si="0"/>
        <v/>
      </c>
      <c r="L27" s="30"/>
      <c r="M27" s="30" t="str">
        <f t="shared" ca="1" si="1"/>
        <v/>
      </c>
      <c r="N27" s="30" t="str">
        <f t="shared" ca="1" si="2"/>
        <v/>
      </c>
      <c r="O27" s="30" t="str">
        <f t="shared" si="3"/>
        <v/>
      </c>
      <c r="P27" s="27"/>
      <c r="Q27" s="27"/>
    </row>
    <row r="28" spans="1:17" ht="21.75" customHeight="1" x14ac:dyDescent="0.25">
      <c r="A28" s="18" t="s">
        <v>107</v>
      </c>
      <c r="B28" s="19"/>
      <c r="C28" s="28"/>
      <c r="D28" s="28"/>
      <c r="E28" s="38"/>
      <c r="F28" s="38"/>
      <c r="G28" s="38"/>
      <c r="H28" s="28"/>
      <c r="I28" s="28"/>
      <c r="J28" s="38"/>
      <c r="K28" s="38" t="str">
        <f t="shared" si="0"/>
        <v/>
      </c>
      <c r="L28" s="28"/>
      <c r="M28" s="28" t="str">
        <f t="shared" ca="1" si="1"/>
        <v/>
      </c>
      <c r="N28" s="28" t="str">
        <f t="shared" ca="1" si="2"/>
        <v/>
      </c>
      <c r="O28" s="28" t="str">
        <f t="shared" si="3"/>
        <v/>
      </c>
      <c r="P28" s="22"/>
      <c r="Q28" s="22"/>
    </row>
    <row r="29" spans="1:17" ht="21.75" customHeight="1" x14ac:dyDescent="0.25">
      <c r="A29" s="23" t="s">
        <v>108</v>
      </c>
      <c r="B29" s="24"/>
      <c r="C29" s="30"/>
      <c r="D29" s="30"/>
      <c r="E29" s="40"/>
      <c r="F29" s="40"/>
      <c r="G29" s="40"/>
      <c r="H29" s="30"/>
      <c r="I29" s="30"/>
      <c r="J29" s="40"/>
      <c r="K29" s="40" t="str">
        <f t="shared" si="0"/>
        <v/>
      </c>
      <c r="L29" s="30"/>
      <c r="M29" s="30" t="str">
        <f t="shared" ca="1" si="1"/>
        <v/>
      </c>
      <c r="N29" s="30" t="str">
        <f t="shared" ca="1" si="2"/>
        <v/>
      </c>
      <c r="O29" s="30" t="str">
        <f t="shared" si="3"/>
        <v/>
      </c>
      <c r="P29" s="27"/>
      <c r="Q29" s="27"/>
    </row>
    <row r="30" spans="1:17" ht="21.75" customHeight="1" x14ac:dyDescent="0.25">
      <c r="A30" s="18" t="s">
        <v>109</v>
      </c>
      <c r="B30" s="19"/>
      <c r="C30" s="28"/>
      <c r="D30" s="28"/>
      <c r="E30" s="38"/>
      <c r="F30" s="38"/>
      <c r="G30" s="38"/>
      <c r="H30" s="28"/>
      <c r="I30" s="28"/>
      <c r="J30" s="38"/>
      <c r="K30" s="38" t="str">
        <f t="shared" si="0"/>
        <v/>
      </c>
      <c r="L30" s="28"/>
      <c r="M30" s="28" t="str">
        <f t="shared" ca="1" si="1"/>
        <v/>
      </c>
      <c r="N30" s="28" t="str">
        <f t="shared" ca="1" si="2"/>
        <v/>
      </c>
      <c r="O30" s="28" t="str">
        <f t="shared" si="3"/>
        <v/>
      </c>
      <c r="P30" s="22"/>
      <c r="Q30" s="22"/>
    </row>
    <row r="31" spans="1:17" ht="21.75" customHeight="1" x14ac:dyDescent="0.25">
      <c r="A31" s="23" t="s">
        <v>110</v>
      </c>
      <c r="B31" s="24"/>
      <c r="C31" s="30"/>
      <c r="D31" s="30"/>
      <c r="E31" s="40"/>
      <c r="F31" s="40"/>
      <c r="G31" s="40"/>
      <c r="H31" s="30"/>
      <c r="I31" s="30"/>
      <c r="J31" s="40"/>
      <c r="K31" s="40" t="str">
        <f t="shared" si="0"/>
        <v/>
      </c>
      <c r="L31" s="30"/>
      <c r="M31" s="30" t="str">
        <f t="shared" ca="1" si="1"/>
        <v/>
      </c>
      <c r="N31" s="30" t="str">
        <f t="shared" ca="1" si="2"/>
        <v/>
      </c>
      <c r="O31" s="30" t="str">
        <f t="shared" si="3"/>
        <v/>
      </c>
      <c r="P31" s="27"/>
      <c r="Q31" s="27"/>
    </row>
    <row r="32" spans="1:17" ht="21.75" customHeight="1" x14ac:dyDescent="0.25">
      <c r="A32" s="18" t="s">
        <v>111</v>
      </c>
      <c r="B32" s="19"/>
      <c r="C32" s="28"/>
      <c r="D32" s="28"/>
      <c r="E32" s="38"/>
      <c r="F32" s="38"/>
      <c r="G32" s="38"/>
      <c r="H32" s="28"/>
      <c r="I32" s="28"/>
      <c r="J32" s="38"/>
      <c r="K32" s="38" t="str">
        <f t="shared" si="0"/>
        <v/>
      </c>
      <c r="L32" s="28"/>
      <c r="M32" s="28" t="str">
        <f t="shared" ca="1" si="1"/>
        <v/>
      </c>
      <c r="N32" s="28" t="str">
        <f t="shared" ca="1" si="2"/>
        <v/>
      </c>
      <c r="O32" s="28" t="str">
        <f t="shared" si="3"/>
        <v/>
      </c>
      <c r="P32" s="22"/>
      <c r="Q32" s="22"/>
    </row>
    <row r="33" spans="1:17" ht="21.75" customHeight="1" x14ac:dyDescent="0.25">
      <c r="A33" s="23" t="s">
        <v>112</v>
      </c>
      <c r="B33" s="24"/>
      <c r="C33" s="30"/>
      <c r="D33" s="30"/>
      <c r="E33" s="40"/>
      <c r="F33" s="40"/>
      <c r="G33" s="40"/>
      <c r="H33" s="30"/>
      <c r="I33" s="30"/>
      <c r="J33" s="40"/>
      <c r="K33" s="40" t="str">
        <f t="shared" si="0"/>
        <v/>
      </c>
      <c r="L33" s="30"/>
      <c r="M33" s="30" t="str">
        <f t="shared" ca="1" si="1"/>
        <v/>
      </c>
      <c r="N33" s="30" t="str">
        <f t="shared" ca="1" si="2"/>
        <v/>
      </c>
      <c r="O33" s="30" t="str">
        <f t="shared" si="3"/>
        <v/>
      </c>
      <c r="P33" s="27"/>
      <c r="Q33" s="27"/>
    </row>
    <row r="35" spans="1:17" ht="30" customHeight="1" x14ac:dyDescent="0.25">
      <c r="A35" s="3" t="s">
        <v>113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</sheetData>
  <mergeCells count="3">
    <mergeCell ref="A1:Q1"/>
    <mergeCell ref="A2:Q2"/>
    <mergeCell ref="A35:Q35"/>
  </mergeCells>
  <conditionalFormatting sqref="M4:N33">
    <cfRule type="expression" dxfId="4" priority="2">
      <formula>OR(M4="Certificación vencida",M4="Reevaluación vencida",M4="Sin certificación")</formula>
    </cfRule>
    <cfRule type="expression" dxfId="3" priority="3">
      <formula>LEFT(M4,5)="Vence"</formula>
    </cfRule>
    <cfRule type="cellIs" dxfId="2" priority="4" operator="equal">
      <formula>"Vigente"</formula>
    </cfRule>
  </conditionalFormatting>
  <conditionalFormatting sqref="O4:O33">
    <cfRule type="cellIs" dxfId="1" priority="8" operator="equal">
      <formula>"SÍ"</formula>
    </cfRule>
    <cfRule type="cellIs" dxfId="0" priority="9" operator="equal">
      <formula>"NO"</formula>
    </cfRule>
  </conditionalFormatting>
  <dataValidations count="4">
    <dataValidation type="date" operator="greaterThan" allowBlank="1" sqref="E4:G33 J4:J33" xr:uid="{00000000-0002-0000-0100-000000000000}">
      <formula1>36526</formula1>
      <formula2>0</formula2>
    </dataValidation>
    <dataValidation type="list" allowBlank="1" sqref="D4:D33" xr:uid="{00000000-0002-0000-0100-000001000000}">
      <formula1>"Destrucción física,Borrado lógico,Destrucción física y borrado lógico"</formula1>
      <formula2>0</formula2>
    </dataValidation>
    <dataValidation type="list" allowBlank="1" sqref="H4:I33" xr:uid="{00000000-0002-0000-0100-000002000000}">
      <formula1>"Sí,No"</formula1>
      <formula2>0</formula2>
    </dataValidation>
    <dataValidation type="list" allowBlank="1" sqref="L4:L33" xr:uid="{00000000-0002-0000-0100-000003000000}">
      <formula1>"En evaluación,Autorizado,Suspendido,Revocado"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6"/>
  <sheetViews>
    <sheetView showGridLines="0" zoomScaleNormal="100" workbookViewId="0"/>
  </sheetViews>
  <sheetFormatPr baseColWidth="10" defaultColWidth="8.7109375" defaultRowHeight="15" x14ac:dyDescent="0.25"/>
  <cols>
    <col min="1" max="1" width="46" customWidth="1"/>
    <col min="2" max="6" width="12" customWidth="1"/>
    <col min="7" max="7" width="14" customWidth="1"/>
  </cols>
  <sheetData>
    <row r="1" spans="1:7" ht="27.75" customHeight="1" x14ac:dyDescent="0.25">
      <c r="A1" s="14" t="s">
        <v>0</v>
      </c>
      <c r="B1" s="14"/>
      <c r="C1" s="14"/>
      <c r="D1" s="14"/>
      <c r="E1" s="14"/>
      <c r="F1" s="14"/>
      <c r="G1" s="14"/>
    </row>
    <row r="2" spans="1:7" ht="21.75" customHeight="1" x14ac:dyDescent="0.25">
      <c r="A2" s="13" t="s">
        <v>114</v>
      </c>
      <c r="B2" s="13"/>
      <c r="C2" s="13"/>
      <c r="D2" s="13"/>
      <c r="E2" s="13"/>
      <c r="F2" s="13"/>
      <c r="G2" s="13"/>
    </row>
    <row r="3" spans="1:7" ht="21.75" customHeight="1" x14ac:dyDescent="0.25">
      <c r="A3" s="12" t="s">
        <v>115</v>
      </c>
      <c r="B3" s="12"/>
      <c r="C3" s="12"/>
      <c r="D3" s="12"/>
      <c r="E3" s="12"/>
      <c r="F3" s="12"/>
      <c r="G3" s="12"/>
    </row>
    <row r="4" spans="1:7" ht="21.75" customHeight="1" x14ac:dyDescent="0.25">
      <c r="A4" s="16" t="s">
        <v>11</v>
      </c>
      <c r="B4" s="16" t="s">
        <v>116</v>
      </c>
      <c r="C4" s="16" t="s">
        <v>80</v>
      </c>
      <c r="D4" s="16" t="s">
        <v>117</v>
      </c>
      <c r="E4" s="16" t="s">
        <v>118</v>
      </c>
      <c r="F4" s="16" t="s">
        <v>119</v>
      </c>
      <c r="G4" s="16" t="s">
        <v>21</v>
      </c>
    </row>
    <row r="5" spans="1:7" ht="21.75" customHeight="1" x14ac:dyDescent="0.25">
      <c r="A5" s="16" t="s">
        <v>18</v>
      </c>
      <c r="B5" s="35">
        <f>ROWS(Evaluación!E10:E14)</f>
        <v>5</v>
      </c>
      <c r="C5" s="41">
        <f>COUNTIF(Evaluación!E10:E14,"Sí")</f>
        <v>0</v>
      </c>
      <c r="D5" s="42">
        <f>COUNTIF(Evaluación!E10:E14,"Parcial")</f>
        <v>0</v>
      </c>
      <c r="E5" s="43">
        <f>COUNTIF(Evaluación!E10:E14,"No")</f>
        <v>0</v>
      </c>
      <c r="F5" s="44">
        <f>COUNTIF(Evaluación!E10:E14,"No aplica")</f>
        <v>0</v>
      </c>
      <c r="G5" s="26">
        <f>COUNTIF(Evaluación!E10:E14,"Sin evaluar")</f>
        <v>5</v>
      </c>
    </row>
    <row r="6" spans="1:7" ht="21.75" customHeight="1" x14ac:dyDescent="0.25">
      <c r="A6" s="45" t="s">
        <v>27</v>
      </c>
      <c r="B6" s="34">
        <f>ROWS(Evaluación!E15:E20)</f>
        <v>6</v>
      </c>
      <c r="C6" s="46">
        <f>COUNTIF(Evaluación!E15:E20,"Sí")</f>
        <v>0</v>
      </c>
      <c r="D6" s="47">
        <f>COUNTIF(Evaluación!E15:E20,"Parcial")</f>
        <v>0</v>
      </c>
      <c r="E6" s="48">
        <f>COUNTIF(Evaluación!E15:E20,"No")</f>
        <v>0</v>
      </c>
      <c r="F6" s="49">
        <f>COUNTIF(Evaluación!E15:E20,"No aplica")</f>
        <v>0</v>
      </c>
      <c r="G6" s="21">
        <f>COUNTIF(Evaluación!E15:E20,"Sin evaluar")</f>
        <v>6</v>
      </c>
    </row>
    <row r="7" spans="1:7" ht="21.75" customHeight="1" x14ac:dyDescent="0.25">
      <c r="A7" s="50" t="s">
        <v>34</v>
      </c>
      <c r="B7" s="35">
        <f>ROWS(Evaluación!E21:E25)</f>
        <v>5</v>
      </c>
      <c r="C7" s="41">
        <f>COUNTIF(Evaluación!E21:E25,"Sí")</f>
        <v>0</v>
      </c>
      <c r="D7" s="42">
        <f>COUNTIF(Evaluación!E21:E25,"Parcial")</f>
        <v>0</v>
      </c>
      <c r="E7" s="43">
        <f>COUNTIF(Evaluación!E21:E25,"No")</f>
        <v>0</v>
      </c>
      <c r="F7" s="44">
        <f>COUNTIF(Evaluación!E21:E25,"No aplica")</f>
        <v>0</v>
      </c>
      <c r="G7" s="26">
        <f>COUNTIF(Evaluación!E21:E25,"Sin evaluar")</f>
        <v>5</v>
      </c>
    </row>
    <row r="8" spans="1:7" ht="21.75" customHeight="1" x14ac:dyDescent="0.25">
      <c r="A8" s="51" t="s">
        <v>40</v>
      </c>
      <c r="B8" s="34">
        <f>ROWS(Evaluación!E26:E30)</f>
        <v>5</v>
      </c>
      <c r="C8" s="46">
        <f>COUNTIF(Evaluación!E26:E30,"Sí")</f>
        <v>0</v>
      </c>
      <c r="D8" s="47">
        <f>COUNTIF(Evaluación!E26:E30,"Parcial")</f>
        <v>0</v>
      </c>
      <c r="E8" s="48">
        <f>COUNTIF(Evaluación!E26:E30,"No")</f>
        <v>0</v>
      </c>
      <c r="F8" s="49">
        <f>COUNTIF(Evaluación!E26:E30,"No aplica")</f>
        <v>0</v>
      </c>
      <c r="G8" s="21">
        <f>COUNTIF(Evaluación!E26:E30,"Sin evaluar")</f>
        <v>5</v>
      </c>
    </row>
    <row r="9" spans="1:7" ht="21.75" customHeight="1" x14ac:dyDescent="0.25">
      <c r="A9" s="52" t="s">
        <v>46</v>
      </c>
      <c r="B9" s="35">
        <f>ROWS(Evaluación!E31:E35)</f>
        <v>5</v>
      </c>
      <c r="C9" s="41">
        <f>COUNTIF(Evaluación!E31:E35,"Sí")</f>
        <v>0</v>
      </c>
      <c r="D9" s="42">
        <f>COUNTIF(Evaluación!E31:E35,"Parcial")</f>
        <v>0</v>
      </c>
      <c r="E9" s="43">
        <f>COUNTIF(Evaluación!E31:E35,"No")</f>
        <v>0</v>
      </c>
      <c r="F9" s="44">
        <f>COUNTIF(Evaluación!E31:E35,"No aplica")</f>
        <v>0</v>
      </c>
      <c r="G9" s="26">
        <f>COUNTIF(Evaluación!E31:E35,"Sin evaluar")</f>
        <v>5</v>
      </c>
    </row>
    <row r="10" spans="1:7" x14ac:dyDescent="0.25">
      <c r="A10" s="53" t="s">
        <v>120</v>
      </c>
      <c r="B10" s="54">
        <f t="shared" ref="B10:G10" si="0">SUM(B5:B9)</f>
        <v>26</v>
      </c>
      <c r="C10" s="54">
        <f t="shared" si="0"/>
        <v>0</v>
      </c>
      <c r="D10" s="54">
        <f t="shared" si="0"/>
        <v>0</v>
      </c>
      <c r="E10" s="54">
        <f t="shared" si="0"/>
        <v>0</v>
      </c>
      <c r="F10" s="54">
        <f t="shared" si="0"/>
        <v>0</v>
      </c>
      <c r="G10" s="54">
        <f t="shared" si="0"/>
        <v>26</v>
      </c>
    </row>
    <row r="11" spans="1:7" ht="21.75" customHeight="1" x14ac:dyDescent="0.25">
      <c r="A11" s="2" t="s">
        <v>121</v>
      </c>
      <c r="B11" s="2"/>
      <c r="C11" s="2"/>
      <c r="D11" s="1" t="str">
        <f>Evaluación!D43</f>
        <v>EVALUACIÓN INCOMPLETA</v>
      </c>
      <c r="E11" s="1"/>
      <c r="F11" s="1"/>
      <c r="G11" s="1"/>
    </row>
    <row r="13" spans="1:7" ht="21.75" customHeight="1" x14ac:dyDescent="0.25">
      <c r="A13" s="12" t="s">
        <v>122</v>
      </c>
      <c r="B13" s="12"/>
      <c r="C13" s="12"/>
      <c r="D13" s="12"/>
      <c r="E13" s="12"/>
      <c r="F13" s="12"/>
      <c r="G13" s="12"/>
    </row>
    <row r="14" spans="1:7" ht="21.75" customHeight="1" x14ac:dyDescent="0.25">
      <c r="A14" s="16" t="s">
        <v>123</v>
      </c>
      <c r="B14" s="57" t="s">
        <v>124</v>
      </c>
      <c r="C14" s="57"/>
    </row>
    <row r="15" spans="1:7" ht="21.75" customHeight="1" x14ac:dyDescent="0.25">
      <c r="A15" s="55" t="s">
        <v>125</v>
      </c>
      <c r="B15" s="58">
        <f>COUNTA('Proveedores Autorizados'!B4:B33)</f>
        <v>1</v>
      </c>
      <c r="C15" s="58"/>
    </row>
    <row r="16" spans="1:7" ht="21.75" customHeight="1" x14ac:dyDescent="0.25">
      <c r="A16" s="56" t="s">
        <v>126</v>
      </c>
      <c r="B16" s="59">
        <f>COUNTIF('Proveedores Autorizados'!L4:L33,"En evaluación")</f>
        <v>0</v>
      </c>
      <c r="C16" s="59"/>
    </row>
    <row r="17" spans="1:7" ht="21.75" customHeight="1" x14ac:dyDescent="0.25">
      <c r="A17" s="55" t="s">
        <v>127</v>
      </c>
      <c r="B17" s="60">
        <f>COUNTIF('Proveedores Autorizados'!L4:L33,"Autorizado")</f>
        <v>1</v>
      </c>
      <c r="C17" s="60"/>
    </row>
    <row r="18" spans="1:7" ht="21.75" customHeight="1" x14ac:dyDescent="0.25">
      <c r="A18" s="56" t="s">
        <v>128</v>
      </c>
      <c r="B18" s="61">
        <f>COUNTIF('Proveedores Autorizados'!L4:L33,"Suspendido")</f>
        <v>0</v>
      </c>
      <c r="C18" s="61"/>
    </row>
    <row r="19" spans="1:7" ht="21.75" customHeight="1" x14ac:dyDescent="0.25">
      <c r="A19" s="55" t="s">
        <v>129</v>
      </c>
      <c r="B19" s="62">
        <f>COUNTIF('Proveedores Autorizados'!L4:L33,"Revocado")</f>
        <v>0</v>
      </c>
      <c r="C19" s="62"/>
    </row>
    <row r="20" spans="1:7" ht="21.75" customHeight="1" x14ac:dyDescent="0.25">
      <c r="A20" s="56" t="s">
        <v>130</v>
      </c>
      <c r="B20" s="63">
        <f ca="1">COUNTIF('Proveedores Autorizados'!O4:O33,"SÍ")</f>
        <v>1</v>
      </c>
      <c r="C20" s="63"/>
    </row>
    <row r="21" spans="1:7" ht="21.75" customHeight="1" x14ac:dyDescent="0.25">
      <c r="A21" s="55" t="s">
        <v>131</v>
      </c>
      <c r="B21" s="62">
        <f ca="1">COUNTIF('Proveedores Autorizados'!M4:M33,"Certificación vencida")+COUNTIF('Proveedores Autorizados'!M4:M33,"Sin certificación")</f>
        <v>0</v>
      </c>
      <c r="C21" s="62"/>
    </row>
    <row r="22" spans="1:7" ht="21.75" customHeight="1" x14ac:dyDescent="0.25">
      <c r="A22" s="56" t="s">
        <v>132</v>
      </c>
      <c r="B22" s="61">
        <f ca="1">COUNTIF('Proveedores Autorizados'!M4:M33,"Vence en ≤60 días")</f>
        <v>0</v>
      </c>
      <c r="C22" s="61"/>
    </row>
    <row r="23" spans="1:7" ht="21.75" customHeight="1" x14ac:dyDescent="0.25">
      <c r="A23" s="55" t="s">
        <v>133</v>
      </c>
      <c r="B23" s="62">
        <f ca="1">COUNTIF('Proveedores Autorizados'!N4:N33,"Reevaluación vencida")</f>
        <v>0</v>
      </c>
      <c r="C23" s="62"/>
    </row>
    <row r="24" spans="1:7" ht="21.75" customHeight="1" x14ac:dyDescent="0.25">
      <c r="A24" s="56" t="s">
        <v>134</v>
      </c>
      <c r="B24" s="64">
        <f ca="1">COUNTIFS('Proveedores Autorizados'!L4:L33,"Autorizado",'Proveedores Autorizados'!O4:O33,"NO")</f>
        <v>0</v>
      </c>
      <c r="C24" s="64"/>
    </row>
    <row r="26" spans="1:7" ht="15" customHeight="1" x14ac:dyDescent="0.25">
      <c r="A26" s="3" t="s">
        <v>135</v>
      </c>
      <c r="B26" s="3"/>
      <c r="C26" s="3"/>
      <c r="D26" s="3"/>
      <c r="E26" s="3"/>
      <c r="F26" s="3"/>
      <c r="G26" s="3"/>
    </row>
  </sheetData>
  <mergeCells count="18">
    <mergeCell ref="B23:C23"/>
    <mergeCell ref="B24:C24"/>
    <mergeCell ref="A26:G26"/>
    <mergeCell ref="B18:C18"/>
    <mergeCell ref="B19:C19"/>
    <mergeCell ref="B20:C20"/>
    <mergeCell ref="B21:C21"/>
    <mergeCell ref="B22:C22"/>
    <mergeCell ref="A13:G13"/>
    <mergeCell ref="B14:C14"/>
    <mergeCell ref="B15:C15"/>
    <mergeCell ref="B16:C16"/>
    <mergeCell ref="B17:C17"/>
    <mergeCell ref="A1:G1"/>
    <mergeCell ref="A2:G2"/>
    <mergeCell ref="A3:G3"/>
    <mergeCell ref="A11:C11"/>
    <mergeCell ref="D11:G1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34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7109375" defaultRowHeight="15" x14ac:dyDescent="0.25"/>
  <cols>
    <col min="1" max="1" width="34" customWidth="1"/>
    <col min="2" max="2" width="100" customWidth="1"/>
  </cols>
  <sheetData>
    <row r="1" spans="1:2" ht="27.75" customHeight="1" x14ac:dyDescent="0.25">
      <c r="A1" s="14" t="s">
        <v>0</v>
      </c>
      <c r="B1" s="14"/>
    </row>
    <row r="2" spans="1:2" ht="21.75" customHeight="1" x14ac:dyDescent="0.25">
      <c r="A2" s="13" t="s">
        <v>136</v>
      </c>
      <c r="B2" s="13"/>
    </row>
    <row r="3" spans="1:2" ht="21.75" customHeight="1" x14ac:dyDescent="0.25">
      <c r="A3" s="57" t="s">
        <v>137</v>
      </c>
      <c r="B3" s="57"/>
    </row>
    <row r="4" spans="1:2" x14ac:dyDescent="0.25">
      <c r="A4" s="45" t="s">
        <v>138</v>
      </c>
      <c r="B4" s="45" t="s">
        <v>139</v>
      </c>
    </row>
    <row r="5" spans="1:2" ht="36" customHeight="1" x14ac:dyDescent="0.25">
      <c r="A5" s="56" t="s">
        <v>140</v>
      </c>
      <c r="B5" s="19" t="s">
        <v>141</v>
      </c>
    </row>
    <row r="6" spans="1:2" ht="36" customHeight="1" x14ac:dyDescent="0.25">
      <c r="A6" s="55" t="s">
        <v>142</v>
      </c>
      <c r="B6" s="24" t="s">
        <v>143</v>
      </c>
    </row>
    <row r="7" spans="1:2" ht="36" customHeight="1" x14ac:dyDescent="0.25">
      <c r="A7" s="56" t="s">
        <v>144</v>
      </c>
      <c r="B7" s="19" t="s">
        <v>145</v>
      </c>
    </row>
    <row r="8" spans="1:2" ht="21.75" customHeight="1" x14ac:dyDescent="0.25">
      <c r="A8" s="57" t="s">
        <v>146</v>
      </c>
      <c r="B8" s="57"/>
    </row>
    <row r="9" spans="1:2" x14ac:dyDescent="0.25">
      <c r="A9" s="45" t="s">
        <v>138</v>
      </c>
      <c r="B9" s="45" t="s">
        <v>139</v>
      </c>
    </row>
    <row r="10" spans="1:2" ht="51" customHeight="1" x14ac:dyDescent="0.25">
      <c r="A10" s="56" t="s">
        <v>147</v>
      </c>
      <c r="B10" s="19" t="s">
        <v>148</v>
      </c>
    </row>
    <row r="11" spans="1:2" ht="51" customHeight="1" x14ac:dyDescent="0.25">
      <c r="A11" s="55" t="s">
        <v>149</v>
      </c>
      <c r="B11" s="24" t="s">
        <v>150</v>
      </c>
    </row>
    <row r="12" spans="1:2" ht="36" customHeight="1" x14ac:dyDescent="0.25">
      <c r="A12" s="56" t="s">
        <v>151</v>
      </c>
      <c r="B12" s="19" t="s">
        <v>152</v>
      </c>
    </row>
    <row r="13" spans="1:2" ht="36" customHeight="1" x14ac:dyDescent="0.25">
      <c r="A13" s="55" t="s">
        <v>153</v>
      </c>
      <c r="B13" s="24" t="s">
        <v>154</v>
      </c>
    </row>
    <row r="14" spans="1:2" ht="36" customHeight="1" x14ac:dyDescent="0.25">
      <c r="A14" s="56" t="s">
        <v>155</v>
      </c>
      <c r="B14" s="19" t="s">
        <v>156</v>
      </c>
    </row>
    <row r="15" spans="1:2" ht="21.75" customHeight="1" x14ac:dyDescent="0.25">
      <c r="A15" s="57" t="s">
        <v>157</v>
      </c>
      <c r="B15" s="57"/>
    </row>
    <row r="16" spans="1:2" x14ac:dyDescent="0.25">
      <c r="A16" s="45" t="s">
        <v>138</v>
      </c>
      <c r="B16" s="45" t="s">
        <v>139</v>
      </c>
    </row>
    <row r="17" spans="1:2" ht="36" customHeight="1" x14ac:dyDescent="0.25">
      <c r="A17" s="56" t="s">
        <v>14</v>
      </c>
      <c r="B17" s="19" t="s">
        <v>158</v>
      </c>
    </row>
    <row r="18" spans="1:2" ht="51" customHeight="1" x14ac:dyDescent="0.25">
      <c r="A18" s="55" t="s">
        <v>15</v>
      </c>
      <c r="B18" s="24" t="s">
        <v>159</v>
      </c>
    </row>
    <row r="19" spans="1:2" ht="21.75" customHeight="1" x14ac:dyDescent="0.25">
      <c r="A19" s="56" t="s">
        <v>16</v>
      </c>
      <c r="B19" s="19" t="s">
        <v>160</v>
      </c>
    </row>
    <row r="20" spans="1:2" ht="21.75" customHeight="1" x14ac:dyDescent="0.25">
      <c r="A20" s="57" t="s">
        <v>161</v>
      </c>
      <c r="B20" s="57"/>
    </row>
    <row r="21" spans="1:2" x14ac:dyDescent="0.25">
      <c r="A21" s="45" t="s">
        <v>138</v>
      </c>
      <c r="B21" s="45" t="s">
        <v>139</v>
      </c>
    </row>
    <row r="22" spans="1:2" ht="21.75" customHeight="1" x14ac:dyDescent="0.25">
      <c r="A22" s="56" t="s">
        <v>162</v>
      </c>
      <c r="B22" s="19" t="s">
        <v>163</v>
      </c>
    </row>
    <row r="23" spans="1:2" ht="21.75" customHeight="1" x14ac:dyDescent="0.25">
      <c r="A23" s="55" t="s">
        <v>164</v>
      </c>
      <c r="B23" s="24" t="s">
        <v>165</v>
      </c>
    </row>
    <row r="24" spans="1:2" ht="21.75" customHeight="1" x14ac:dyDescent="0.25">
      <c r="A24" s="56" t="s">
        <v>69</v>
      </c>
      <c r="B24" s="19" t="s">
        <v>166</v>
      </c>
    </row>
    <row r="25" spans="1:2" ht="21.75" customHeight="1" x14ac:dyDescent="0.25">
      <c r="A25" s="55" t="s">
        <v>71</v>
      </c>
      <c r="B25" s="24" t="s">
        <v>167</v>
      </c>
    </row>
    <row r="26" spans="1:2" ht="36" customHeight="1" x14ac:dyDescent="0.25">
      <c r="A26" s="56" t="s">
        <v>72</v>
      </c>
      <c r="B26" s="19" t="s">
        <v>168</v>
      </c>
    </row>
    <row r="27" spans="1:2" ht="21.75" customHeight="1" x14ac:dyDescent="0.25">
      <c r="A27" s="55" t="s">
        <v>73</v>
      </c>
      <c r="B27" s="24" t="s">
        <v>169</v>
      </c>
    </row>
    <row r="28" spans="1:2" ht="36" customHeight="1" x14ac:dyDescent="0.25">
      <c r="A28" s="56" t="s">
        <v>74</v>
      </c>
      <c r="B28" s="19" t="s">
        <v>170</v>
      </c>
    </row>
    <row r="29" spans="1:2" ht="21.75" customHeight="1" x14ac:dyDescent="0.25">
      <c r="A29" s="57" t="s">
        <v>171</v>
      </c>
      <c r="B29" s="57"/>
    </row>
    <row r="30" spans="1:2" x14ac:dyDescent="0.25">
      <c r="A30" s="45" t="s">
        <v>138</v>
      </c>
      <c r="B30" s="45" t="s">
        <v>139</v>
      </c>
    </row>
    <row r="31" spans="1:2" ht="36" customHeight="1" x14ac:dyDescent="0.25">
      <c r="A31" s="56" t="s">
        <v>172</v>
      </c>
      <c r="B31" s="19" t="s">
        <v>173</v>
      </c>
    </row>
    <row r="32" spans="1:2" ht="36" customHeight="1" x14ac:dyDescent="0.25">
      <c r="A32" s="55" t="s">
        <v>174</v>
      </c>
      <c r="B32" s="24" t="s">
        <v>175</v>
      </c>
    </row>
    <row r="33" spans="1:2" ht="36" customHeight="1" x14ac:dyDescent="0.25">
      <c r="A33" s="56" t="s">
        <v>176</v>
      </c>
      <c r="B33" s="19" t="s">
        <v>177</v>
      </c>
    </row>
    <row r="34" spans="1:2" ht="36" customHeight="1" x14ac:dyDescent="0.25">
      <c r="A34" s="55" t="s">
        <v>178</v>
      </c>
      <c r="B34" s="24" t="s">
        <v>179</v>
      </c>
    </row>
  </sheetData>
  <mergeCells count="7">
    <mergeCell ref="A20:B20"/>
    <mergeCell ref="A29:B29"/>
    <mergeCell ref="A1:B1"/>
    <mergeCell ref="A2:B2"/>
    <mergeCell ref="A3:B3"/>
    <mergeCell ref="A8:B8"/>
    <mergeCell ref="A15:B15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Evaluación</vt:lpstr>
      <vt:lpstr>Proveedores Autorizados</vt:lpstr>
      <vt:lpstr>Dashboard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2026-09-23T23:28:06Z</dcterms:created>
  <dcterms:modified xsi:type="dcterms:W3CDTF">2026-09-23T23:36:27Z</dcterms:modified>
  <dc:language>en-US</dc:language>
</cp:coreProperties>
</file>