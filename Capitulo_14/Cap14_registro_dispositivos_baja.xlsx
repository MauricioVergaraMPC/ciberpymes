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14- Disposicion Final/Templates/"/>
    </mc:Choice>
  </mc:AlternateContent>
  <xr:revisionPtr revIDLastSave="7" documentId="11_672D1676AC70D9523B0189FD637C0E179E9BF1E1" xr6:coauthVersionLast="47" xr6:coauthVersionMax="47" xr10:uidLastSave="{874FA383-60EF-43AC-97C3-9D25A30D58AD}"/>
  <bookViews>
    <workbookView xWindow="29685" yWindow="1545" windowWidth="21600" windowHeight="11505" tabRatio="500" xr2:uid="{00000000-000D-0000-FFFF-FFFF00000000}"/>
  </bookViews>
  <sheets>
    <sheet name="Registro Dispositivos" sheetId="1" r:id="rId1"/>
    <sheet name="Tablero 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2" l="1"/>
  <c r="E5" i="2"/>
  <c r="D5" i="2"/>
  <c r="C5" i="2"/>
  <c r="B5" i="2"/>
  <c r="A5" i="2"/>
  <c r="F5" i="2" s="1"/>
</calcChain>
</file>

<file path=xl/sharedStrings.xml><?xml version="1.0" encoding="utf-8"?>
<sst xmlns="http://schemas.openxmlformats.org/spreadsheetml/2006/main" count="123" uniqueCount="104">
  <si>
    <t>REGISTRO DE DISPOSITIVOS PENDIENTES DE BAJA — DISPOSICIÓN FINAL</t>
  </si>
  <si>
    <t>Capítulo 14 · Disposición Final · Ciberprotección para PyMES. Guía Práctica. · Mauricio Vergara</t>
  </si>
  <si>
    <t>IDENTIFICACIÓN DEL DISPOSITIVO</t>
  </si>
  <si>
    <t>ASIGNACIÓN Y ORIGEN</t>
  </si>
  <si>
    <t>CLASIFICACIÓN</t>
  </si>
  <si>
    <t>ESTADO ACTUAL</t>
  </si>
  <si>
    <t>PROCESO DE DISPOSICIÓN</t>
  </si>
  <si>
    <t>CERTIFICACIÓN</t>
  </si>
  <si>
    <t>DESTINO FINAL</t>
  </si>
  <si>
    <t>ID
Dispositivo</t>
  </si>
  <si>
    <t>Tipo
(PC/Portátil/
Servidor/Móvil/
Disco/USB)</t>
  </si>
  <si>
    <t>Marca y Modelo</t>
  </si>
  <si>
    <t>Número de Serie</t>
  </si>
  <si>
    <t>Área / Departamento</t>
  </si>
  <si>
    <t>Último Usuario
Asignado</t>
  </si>
  <si>
    <t>Fecha
Retiro</t>
  </si>
  <si>
    <t>Sensibilidad
(Alta/Media/Baja)</t>
  </si>
  <si>
    <t>Tipo de Info
que Contenía</t>
  </si>
  <si>
    <t>Estado Físico
(Funcional/Dañado/
Inutilizable)</t>
  </si>
  <si>
    <t>Ubicación Actual</t>
  </si>
  <si>
    <t>Método Disposición
(Borrado/Degaussing/
Destrucción)</t>
  </si>
  <si>
    <t>Responsable
del Proceso</t>
  </si>
  <si>
    <t>Fecha
Ejecución</t>
  </si>
  <si>
    <t>Número de
Certificado</t>
  </si>
  <si>
    <t>Proveedor
Certificador</t>
  </si>
  <si>
    <t>Destino Final
(Reutilización/Donación/
Venta/Reciclaje/Destrucción)</t>
  </si>
  <si>
    <t>Observaciones</t>
  </si>
  <si>
    <t>DF-001</t>
  </si>
  <si>
    <t>Portátil</t>
  </si>
  <si>
    <t>Dell Latitude 5420</t>
  </si>
  <si>
    <t>SN-20180432</t>
  </si>
  <si>
    <t>Contabilidad</t>
  </si>
  <si>
    <t>Ana Gómez</t>
  </si>
  <si>
    <t>2024-02-01</t>
  </si>
  <si>
    <t>Alta</t>
  </si>
  <si>
    <t>Info financiera, facturas, claves bancarias</t>
  </si>
  <si>
    <t>Funcional</t>
  </si>
  <si>
    <t>Bodega TI</t>
  </si>
  <si>
    <t>Borrado seguro + Destrucción física</t>
  </si>
  <si>
    <t>Juan Pérez</t>
  </si>
  <si>
    <t>2024-02-15</t>
  </si>
  <si>
    <t>CERT-2024-001</t>
  </si>
  <si>
    <t>Proveedor ITAD certificado</t>
  </si>
  <si>
    <t>Destrucción</t>
  </si>
  <si>
    <t>Disco destruido. Carcasa donada.</t>
  </si>
  <si>
    <t>DF-002</t>
  </si>
  <si>
    <t>PC Escritorio</t>
  </si>
  <si>
    <t>HP ProDesk 400 G6</t>
  </si>
  <si>
    <t>SN-20190871</t>
  </si>
  <si>
    <t>Comercial</t>
  </si>
  <si>
    <t>Carlos Ruiz</t>
  </si>
  <si>
    <t>2024-01-20</t>
  </si>
  <si>
    <t>Media</t>
  </si>
  <si>
    <t>Correos, documentos internos, CRM</t>
  </si>
  <si>
    <t>Borrado seguro (sobreescritura)</t>
  </si>
  <si>
    <t>2024-02-10</t>
  </si>
  <si>
    <t>CERT-2024-002</t>
  </si>
  <si>
    <t>Interno — TI</t>
  </si>
  <si>
    <t>Donación</t>
  </si>
  <si>
    <t>Donado a ONG local. Certificado de borrado adjunto.</t>
  </si>
  <si>
    <t>DF-003</t>
  </si>
  <si>
    <t>Disco externo</t>
  </si>
  <si>
    <t>Seagate 2TB</t>
  </si>
  <si>
    <t>SN-SE20210034</t>
  </si>
  <si>
    <t>Gerencia</t>
  </si>
  <si>
    <t>María López</t>
  </si>
  <si>
    <t>2024-02-05</t>
  </si>
  <si>
    <t>Backups gerencia, contratos, info personal</t>
  </si>
  <si>
    <t>Degaussing + Destrucción física</t>
  </si>
  <si>
    <t>Proveedor externo</t>
  </si>
  <si>
    <t>2024-02-20</t>
  </si>
  <si>
    <t>CERT-2024-003</t>
  </si>
  <si>
    <t>Destrucción certificada.</t>
  </si>
  <si>
    <t>DF-004</t>
  </si>
  <si>
    <t>Móvil</t>
  </si>
  <si>
    <t>Samsung Galaxy A52</t>
  </si>
  <si>
    <t>SN-SM20220156</t>
  </si>
  <si>
    <t>Ventas</t>
  </si>
  <si>
    <t>Pedro Mora</t>
  </si>
  <si>
    <t>2024-01-15</t>
  </si>
  <si>
    <t>Correo corporativo, WhatsApp Business</t>
  </si>
  <si>
    <t>Restablecimiento fábrica certificado</t>
  </si>
  <si>
    <t>2024-01-25</t>
  </si>
  <si>
    <t>CERT-2024-004</t>
  </si>
  <si>
    <t>Reutilización</t>
  </si>
  <si>
    <t>Reasignado a nuevo colaborador.</t>
  </si>
  <si>
    <t>DF-005</t>
  </si>
  <si>
    <t>Servidor</t>
  </si>
  <si>
    <t>Dell PowerEdge R440</t>
  </si>
  <si>
    <t>SN-PE20170089</t>
  </si>
  <si>
    <t>TI/Infraestructura</t>
  </si>
  <si>
    <t>BD clientes, logs, credenciales</t>
  </si>
  <si>
    <t>Dañado</t>
  </si>
  <si>
    <t>Destrucción física</t>
  </si>
  <si>
    <t>Pendiente de certificación</t>
  </si>
  <si>
    <t>En proceso. Programado para semana del 04/03/2024.</t>
  </si>
  <si>
    <t>TABLERO RESUMEN — DISPOSITIVOS EN PROCESO DE BAJA</t>
  </si>
  <si>
    <t>Total
Registrados</t>
  </si>
  <si>
    <t>Sensibilidad
Alta</t>
  </si>
  <si>
    <t>Sensibilidad
Media</t>
  </si>
  <si>
    <t>Sensibilidad
Baja</t>
  </si>
  <si>
    <t>Proceso
Completado</t>
  </si>
  <si>
    <t>Proceso
Pendiente</t>
  </si>
  <si>
    <t>Sin
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</si>
</sst>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7B0000"/>
      <name val="Arial"/>
      <charset val="1"/>
    </font>
    <font>
      <b/>
      <sz val="9"/>
      <color rgb="FF1E5631"/>
      <name val="Arial"/>
      <charset val="1"/>
    </font>
    <font>
      <b/>
      <sz val="9"/>
      <color rgb="FF7B4F00"/>
      <name val="Arial"/>
      <charset val="1"/>
    </font>
    <font>
      <b/>
      <sz val="12"/>
      <color rgb="FFFFFFFF"/>
      <name val="Arial"/>
      <charset val="1"/>
    </font>
    <font>
      <b/>
      <sz val="14"/>
      <color rgb="FF000000"/>
      <name val="Arial"/>
      <charset val="1"/>
    </font>
    <font>
      <b/>
      <sz val="14"/>
      <color rgb="FF7B0000"/>
      <name val="Arial"/>
      <charset val="1"/>
    </font>
    <font>
      <b/>
      <sz val="14"/>
      <color rgb="FF7B4F00"/>
      <name val="Arial"/>
      <charset val="1"/>
    </font>
    <font>
      <b/>
      <sz val="14"/>
      <color rgb="FF1E5631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2471A3"/>
      </patternFill>
    </fill>
    <fill>
      <patternFill patternType="solid">
        <fgColor rgb="FF1A5276"/>
        <bgColor rgb="FF154360"/>
      </patternFill>
    </fill>
    <fill>
      <patternFill patternType="solid">
        <fgColor rgb="FF154360"/>
        <bgColor rgb="FF243F60"/>
      </patternFill>
    </fill>
    <fill>
      <patternFill patternType="solid">
        <fgColor rgb="FF17407A"/>
        <bgColor rgb="FF154360"/>
      </patternFill>
    </fill>
    <fill>
      <patternFill patternType="solid">
        <fgColor rgb="FF1F618D"/>
        <bgColor rgb="FF1A5276"/>
      </patternFill>
    </fill>
    <fill>
      <patternFill patternType="solid">
        <fgColor rgb="FF2471A3"/>
        <bgColor rgb="FF2E75B6"/>
      </patternFill>
    </fill>
    <fill>
      <patternFill patternType="solid">
        <fgColor rgb="FF243F60"/>
        <bgColor rgb="FF1F3864"/>
      </patternFill>
    </fill>
    <fill>
      <patternFill patternType="solid">
        <fgColor rgb="FFD6E4F0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D9EAD3"/>
        <bgColor rgb="FFD6E4F0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F618D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471A3"/>
      <rgbColor rgb="FFD6E4F0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1F3864"/>
      <rgbColor rgb="FF1E5631"/>
      <rgbColor rgb="FF7B4F00"/>
      <rgbColor rgb="FF993366"/>
      <rgbColor rgb="FF17407A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tabSelected="1" zoomScaleNormal="100" workbookViewId="0">
      <pane ySplit="4" topLeftCell="A5" activePane="bottomLeft" state="frozen"/>
      <selection pane="bottomLeft" activeCell="J9" sqref="A1:J9"/>
    </sheetView>
  </sheetViews>
  <sheetFormatPr baseColWidth="10" defaultColWidth="8.7109375" defaultRowHeight="15" x14ac:dyDescent="0.25"/>
  <cols>
    <col min="1" max="1" width="8" customWidth="1"/>
    <col min="2" max="2" width="16" customWidth="1"/>
    <col min="3" max="3" width="20" customWidth="1"/>
    <col min="4" max="6" width="18" customWidth="1"/>
    <col min="7" max="8" width="14" customWidth="1"/>
    <col min="9" max="9" width="28" customWidth="1"/>
    <col min="10" max="10" width="14" customWidth="1"/>
    <col min="11" max="11" width="20" customWidth="1"/>
    <col min="12" max="12" width="26" customWidth="1"/>
    <col min="13" max="13" width="18" customWidth="1"/>
    <col min="14" max="14" width="14" customWidth="1"/>
    <col min="15" max="15" width="16" customWidth="1"/>
    <col min="16" max="17" width="22" customWidth="1"/>
    <col min="18" max="18" width="28" customWidth="1"/>
  </cols>
  <sheetData>
    <row r="1" spans="1:18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5.7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9.5" customHeight="1" x14ac:dyDescent="0.25">
      <c r="A3" s="16" t="s">
        <v>2</v>
      </c>
      <c r="B3" s="16"/>
      <c r="C3" s="16"/>
      <c r="D3" s="16"/>
      <c r="E3" s="17" t="s">
        <v>3</v>
      </c>
      <c r="F3" s="17"/>
      <c r="G3" s="17"/>
      <c r="H3" s="18" t="s">
        <v>4</v>
      </c>
      <c r="I3" s="18"/>
      <c r="J3" s="15" t="s">
        <v>5</v>
      </c>
      <c r="K3" s="15"/>
      <c r="L3" s="19" t="s">
        <v>6</v>
      </c>
      <c r="M3" s="19"/>
      <c r="N3" s="19"/>
      <c r="O3" s="20" t="s">
        <v>7</v>
      </c>
      <c r="P3" s="20"/>
      <c r="Q3" s="21" t="s">
        <v>8</v>
      </c>
      <c r="R3" s="21"/>
    </row>
    <row r="4" spans="1:18" ht="51.75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</row>
    <row r="5" spans="1:18" ht="24" customHeight="1" x14ac:dyDescent="0.25">
      <c r="A5" s="2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2" t="s">
        <v>33</v>
      </c>
      <c r="H5" s="4" t="s">
        <v>34</v>
      </c>
      <c r="I5" s="3" t="s">
        <v>35</v>
      </c>
      <c r="J5" s="5" t="s">
        <v>36</v>
      </c>
      <c r="K5" s="3" t="s">
        <v>37</v>
      </c>
      <c r="L5" s="3" t="s">
        <v>38</v>
      </c>
      <c r="M5" s="3" t="s">
        <v>39</v>
      </c>
      <c r="N5" s="2" t="s">
        <v>40</v>
      </c>
      <c r="O5" s="3" t="s">
        <v>41</v>
      </c>
      <c r="P5" s="3" t="s">
        <v>42</v>
      </c>
      <c r="Q5" s="3" t="s">
        <v>43</v>
      </c>
      <c r="R5" s="3" t="s">
        <v>44</v>
      </c>
    </row>
    <row r="6" spans="1:18" ht="24" customHeight="1" x14ac:dyDescent="0.25">
      <c r="A6" s="6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6" t="s">
        <v>51</v>
      </c>
      <c r="H6" s="8" t="s">
        <v>52</v>
      </c>
      <c r="I6" s="7" t="s">
        <v>53</v>
      </c>
      <c r="J6" s="5" t="s">
        <v>36</v>
      </c>
      <c r="K6" s="7" t="s">
        <v>37</v>
      </c>
      <c r="L6" s="7" t="s">
        <v>54</v>
      </c>
      <c r="M6" s="7" t="s">
        <v>39</v>
      </c>
      <c r="N6" s="6" t="s">
        <v>55</v>
      </c>
      <c r="O6" s="7" t="s">
        <v>56</v>
      </c>
      <c r="P6" s="7" t="s">
        <v>57</v>
      </c>
      <c r="Q6" s="7" t="s">
        <v>58</v>
      </c>
      <c r="R6" s="7" t="s">
        <v>59</v>
      </c>
    </row>
    <row r="7" spans="1:18" ht="24" customHeight="1" x14ac:dyDescent="0.25">
      <c r="A7" s="2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2" t="s">
        <v>66</v>
      </c>
      <c r="H7" s="4" t="s">
        <v>34</v>
      </c>
      <c r="I7" s="3" t="s">
        <v>67</v>
      </c>
      <c r="J7" s="5" t="s">
        <v>36</v>
      </c>
      <c r="K7" s="3" t="s">
        <v>37</v>
      </c>
      <c r="L7" s="3" t="s">
        <v>68</v>
      </c>
      <c r="M7" s="3" t="s">
        <v>69</v>
      </c>
      <c r="N7" s="2" t="s">
        <v>70</v>
      </c>
      <c r="O7" s="3" t="s">
        <v>71</v>
      </c>
      <c r="P7" s="3" t="s">
        <v>42</v>
      </c>
      <c r="Q7" s="3" t="s">
        <v>43</v>
      </c>
      <c r="R7" s="3" t="s">
        <v>72</v>
      </c>
    </row>
    <row r="8" spans="1:18" ht="24" customHeight="1" x14ac:dyDescent="0.25">
      <c r="A8" s="6" t="s">
        <v>73</v>
      </c>
      <c r="B8" s="7" t="s">
        <v>74</v>
      </c>
      <c r="C8" s="7" t="s">
        <v>75</v>
      </c>
      <c r="D8" s="7" t="s">
        <v>76</v>
      </c>
      <c r="E8" s="7" t="s">
        <v>77</v>
      </c>
      <c r="F8" s="7" t="s">
        <v>78</v>
      </c>
      <c r="G8" s="6" t="s">
        <v>79</v>
      </c>
      <c r="H8" s="8" t="s">
        <v>52</v>
      </c>
      <c r="I8" s="7" t="s">
        <v>80</v>
      </c>
      <c r="J8" s="5" t="s">
        <v>36</v>
      </c>
      <c r="K8" s="7" t="s">
        <v>37</v>
      </c>
      <c r="L8" s="7" t="s">
        <v>81</v>
      </c>
      <c r="M8" s="7" t="s">
        <v>39</v>
      </c>
      <c r="N8" s="6" t="s">
        <v>82</v>
      </c>
      <c r="O8" s="7" t="s">
        <v>83</v>
      </c>
      <c r="P8" s="7" t="s">
        <v>57</v>
      </c>
      <c r="Q8" s="7" t="s">
        <v>84</v>
      </c>
      <c r="R8" s="7" t="s">
        <v>85</v>
      </c>
    </row>
    <row r="9" spans="1:18" ht="24" customHeight="1" x14ac:dyDescent="0.25">
      <c r="A9" s="2" t="s">
        <v>86</v>
      </c>
      <c r="B9" s="3" t="s">
        <v>87</v>
      </c>
      <c r="C9" s="3" t="s">
        <v>88</v>
      </c>
      <c r="D9" s="3" t="s">
        <v>89</v>
      </c>
      <c r="E9" s="3" t="s">
        <v>90</v>
      </c>
      <c r="F9" s="3" t="s">
        <v>39</v>
      </c>
      <c r="G9" s="2" t="s">
        <v>55</v>
      </c>
      <c r="H9" s="4" t="s">
        <v>34</v>
      </c>
      <c r="I9" s="3" t="s">
        <v>91</v>
      </c>
      <c r="J9" s="8" t="s">
        <v>92</v>
      </c>
      <c r="K9" s="3" t="s">
        <v>37</v>
      </c>
      <c r="L9" s="3" t="s">
        <v>93</v>
      </c>
      <c r="M9" s="3" t="s">
        <v>69</v>
      </c>
      <c r="N9" s="2"/>
      <c r="O9" s="3"/>
      <c r="P9" s="3" t="s">
        <v>94</v>
      </c>
      <c r="Q9" s="3" t="s">
        <v>43</v>
      </c>
      <c r="R9" s="3" t="s">
        <v>95</v>
      </c>
    </row>
    <row r="10" spans="1:18" ht="19.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9.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9.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9.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9.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9.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9.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9.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9.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9.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9.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9.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9.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9.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</sheetData>
  <mergeCells count="6">
    <mergeCell ref="Q3:R3"/>
    <mergeCell ref="A3:D3"/>
    <mergeCell ref="E3:G3"/>
    <mergeCell ref="H3:I3"/>
    <mergeCell ref="L3:N3"/>
    <mergeCell ref="O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zoomScaleNormal="100" workbookViewId="0"/>
  </sheetViews>
  <sheetFormatPr baseColWidth="10" defaultColWidth="8.7109375" defaultRowHeight="15" x14ac:dyDescent="0.25"/>
  <cols>
    <col min="1" max="1" width="14" customWidth="1"/>
    <col min="2" max="4" width="12" customWidth="1"/>
    <col min="5" max="7" width="14" customWidth="1"/>
  </cols>
  <sheetData>
    <row r="1" spans="1:7" ht="27.75" customHeight="1" x14ac:dyDescent="0.25">
      <c r="A1" s="22" t="s">
        <v>96</v>
      </c>
      <c r="B1" s="22"/>
      <c r="C1" s="22"/>
      <c r="D1" s="22"/>
      <c r="E1" s="22"/>
      <c r="F1" s="22"/>
      <c r="G1" s="22"/>
    </row>
    <row r="4" spans="1:7" ht="31.5" customHeight="1" x14ac:dyDescent="0.25">
      <c r="A4" s="1" t="s">
        <v>97</v>
      </c>
      <c r="B4" s="1" t="s">
        <v>98</v>
      </c>
      <c r="C4" s="1" t="s">
        <v>99</v>
      </c>
      <c r="D4" s="1" t="s">
        <v>100</v>
      </c>
      <c r="E4" s="1" t="s">
        <v>101</v>
      </c>
      <c r="F4" s="1" t="s">
        <v>102</v>
      </c>
      <c r="G4" s="1" t="s">
        <v>103</v>
      </c>
    </row>
    <row r="5" spans="1:7" ht="36" customHeight="1" x14ac:dyDescent="0.25">
      <c r="A5" s="9">
        <f>COUNTA('Registro Dispositivos'!A5:A100)-COUNTBLANK('Registro Dispositivos'!A5:A100)</f>
        <v>-86</v>
      </c>
      <c r="B5" s="10">
        <f>COUNTIF('Registro Dispositivos'!H5:H100,"Alta")</f>
        <v>3</v>
      </c>
      <c r="C5" s="11">
        <f>COUNTIF('Registro Dispositivos'!H5:H100,"Media")</f>
        <v>2</v>
      </c>
      <c r="D5" s="12">
        <f>COUNTIF('Registro Dispositivos'!H5:H100,"Baja")</f>
        <v>0</v>
      </c>
      <c r="E5" s="12">
        <f>COUNTIF('Registro Dispositivos'!O5:O100,"&lt;&gt;"&amp;"")</f>
        <v>4</v>
      </c>
      <c r="F5" s="11">
        <f>A5-E5</f>
        <v>-90</v>
      </c>
      <c r="G5" s="10">
        <f>COUNTBLANK('Registro Dispositivos'!O5:O100)-COUNTBLANK('Registro Dispositivos'!A5:A100)</f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Dispositivos</vt:lpstr>
      <vt:lpstr>Tablero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2026-03-31T15:06:03Z</dcterms:created>
  <dcterms:modified xsi:type="dcterms:W3CDTF">2026-09-23T23:41:21Z</dcterms:modified>
  <dc:language>en-US</dc:language>
</cp:coreProperties>
</file>