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A3CAFF6A1A4658D1FEC48708519F1B038ED7DC70" xr6:coauthVersionLast="47" xr6:coauthVersionMax="47" xr10:uidLastSave="{3219D6B8-7551-469E-ABAF-05335E7DF051}"/>
  <bookViews>
    <workbookView xWindow="29685" yWindow="1545" windowWidth="21600" windowHeight="11505" tabRatio="500" xr2:uid="{00000000-000D-0000-FFFF-FFFF00000000}"/>
  </bookViews>
  <sheets>
    <sheet name="Checklist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2" l="1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F11" i="2" s="1"/>
  <c r="E4" i="2"/>
  <c r="E11" i="2" s="1"/>
  <c r="D4" i="2"/>
  <c r="D11" i="2" s="1"/>
  <c r="C4" i="2"/>
  <c r="C11" i="2" s="1"/>
  <c r="B4" i="2"/>
  <c r="B11" i="2" s="1"/>
  <c r="D40" i="1"/>
  <c r="D39" i="1"/>
  <c r="D38" i="1"/>
  <c r="D41" i="1" s="1"/>
  <c r="C12" i="2" s="1"/>
  <c r="D37" i="1"/>
</calcChain>
</file>

<file path=xl/sharedStrings.xml><?xml version="1.0" encoding="utf-8"?>
<sst xmlns="http://schemas.openxmlformats.org/spreadsheetml/2006/main" count="159" uniqueCount="92">
  <si>
    <t>CIBERPROTECCIÓN PARA PyMES  ·  Capítulo 14 — Disposición Final</t>
  </si>
  <si>
    <t>Revocación de Accesos y Desvinculación de Cuentas del Dispositivo</t>
  </si>
  <si>
    <t>DATOS DEL DISPOSITIVO DADO DE BAJA</t>
  </si>
  <si>
    <t>ID del activo</t>
  </si>
  <si>
    <t>Tipo de dispositivo</t>
  </si>
  <si>
    <t>Número de serie</t>
  </si>
  <si>
    <t>Usuario asignado</t>
  </si>
  <si>
    <t>Motivo de la baja</t>
  </si>
  <si>
    <t>Situación del usuario</t>
  </si>
  <si>
    <t>Responsable de TI</t>
  </si>
  <si>
    <t>Fecha de inicio</t>
  </si>
  <si>
    <t>Bloque</t>
  </si>
  <si>
    <t>N°</t>
  </si>
  <si>
    <t>Tarea de desvinculación</t>
  </si>
  <si>
    <t>Aplica a</t>
  </si>
  <si>
    <t>Estado</t>
  </si>
  <si>
    <t>Responsable</t>
  </si>
  <si>
    <t>Fecha</t>
  </si>
  <si>
    <t>Evidencia / Observaciones</t>
  </si>
  <si>
    <t>PREPARACIÓN</t>
  </si>
  <si>
    <t>Identificar en el inventario de activos todos los sistemas, servicios y plataformas a los que estuvo conectado el dispositivo durante su vida útil.</t>
  </si>
  <si>
    <t>Todos</t>
  </si>
  <si>
    <t>Pendiente</t>
  </si>
  <si>
    <t>Confirmar que la información necesaria del dispositivo fue respaldada o migrada antes de iniciar la desvinculación.</t>
  </si>
  <si>
    <t>Registrar las claves de recuperación de cifrado de disco (BitLocker, FileVault) y conservarlas hasta recibir el certificado de borrado o destrucción.</t>
  </si>
  <si>
    <t>Equipos de cómputo</t>
  </si>
  <si>
    <t>IDENTIDAD Y DIRECTORIO</t>
  </si>
  <si>
    <t>Deshabilitar el objeto del dispositivo en el directorio corporativo (Active Directory, Microsoft Entra ID, Google Workspace).</t>
  </si>
  <si>
    <t>Retirar el dispositivo de los grupos de seguridad y de las políticas de acceso condicional que lo referencian.</t>
  </si>
  <si>
    <t>Si el usuario se retira de la organización, deshabilitar su cuenta conforme al proceso de baja de personal. Si continúa, no deshabilitar la cuenta: revocar únicamente los accesos vinculados al dispositivo.</t>
  </si>
  <si>
    <t>Eliminar las credenciales de cuentas de servicio o cuentas locales privilegiadas almacenadas en el dispositivo y rotar las contraseñas compartidas que se hayan usado en él.</t>
  </si>
  <si>
    <t>CERTIFICADOS Y AUTENTICACIÓN</t>
  </si>
  <si>
    <t>Revocar en la autoridad certificadora los certificados digitales emitidos al dispositivo (autenticación de red, VPN, firma).</t>
  </si>
  <si>
    <t>Eliminar los métodos de MFA registrados en el dispositivo (aplicación autenticadora, llaves de acceso o passkeys, notificaciones push) y confirmar que el usuario dispone de un método alternativo.</t>
  </si>
  <si>
    <t>Revocar los tokens de actualización y las sesiones persistentes emitidas al dispositivo en el proveedor de identidad.</t>
  </si>
  <si>
    <t>SESIONES Y APLICACIONES</t>
  </si>
  <si>
    <t>Cerrar las sesiones activas del dispositivo en el correo corporativo y retirar el dispositivo de la lista de equipos sincronizados.</t>
  </si>
  <si>
    <t>Revocar el perfil o la configuración de VPN asociada al dispositivo.</t>
  </si>
  <si>
    <t>Cerrar las sesiones en herramientas de colaboración (mensajería, videoconferencia, almacenamiento en la nube) desde la consola de administración.</t>
  </si>
  <si>
    <t>Desvincular el dispositivo del gestor de contraseñas corporativo y revocar su autorización.</t>
  </si>
  <si>
    <t>Liberar las licencias de software asignadas al dispositivo.</t>
  </si>
  <si>
    <t>GESTIÓN Y MONITOREO</t>
  </si>
  <si>
    <t>Retirar el dispositivo de la plataforma de gestión remota (UEM/MDM) una vez aplicado el borrado remoto, si corresponde.</t>
  </si>
  <si>
    <t>Eliminar el registro del dispositivo en los servicios de aprovisionamiento automático (Windows Autopilot, Apple Business Manager, Android Zero-Touch) para impedir su reinscripción en la organización.</t>
  </si>
  <si>
    <t>Desactivar el bloqueo de activación del fabricante (Buscar mi iPhone, protección contra restablecimiento de fábrica de Google) para que el dispositivo pueda ser borrado y reutilizado por el proveedor.</t>
  </si>
  <si>
    <t>Móviles</t>
  </si>
  <si>
    <t>Desinstalar o dar de baja el agente de EDR/antivirus y retirar el equipo de la consola de administración.</t>
  </si>
  <si>
    <t>Retirar el dispositivo de las herramientas de monitoreo, respaldo y gestión de parches.</t>
  </si>
  <si>
    <t>RED</t>
  </si>
  <si>
    <t>Eliminar la dirección MAC del dispositivo de las listas de control de acceso a la red, reservas DHCP y del control de acceso a la red (NAC).</t>
  </si>
  <si>
    <t>Si el dispositivo conocía la clave de una red inalámbrica compartida (PSK), evaluar su rotación.</t>
  </si>
  <si>
    <t>VERIFICACIÓN Y CIERRE</t>
  </si>
  <si>
    <t>Verificar en los registros del proveedor de identidad que no existen inicios de sesión ni solicitudes desde el dispositivo después de la desvinculación.</t>
  </si>
  <si>
    <t>Actualizar el estado del activo en el inventario a «Desvinculado — pendiente de borrado/destrucción».</t>
  </si>
  <si>
    <t>Obtener la firma del responsable de TI que autoriza el paso a la etapa de borrado o destrucción.</t>
  </si>
  <si>
    <t>RESULTADO</t>
  </si>
  <si>
    <t>Tareas completadas</t>
  </si>
  <si>
    <t>Tareas pendientes o en proceso</t>
  </si>
  <si>
    <t>Tareas no aplicables</t>
  </si>
  <si>
    <t>Avance</t>
  </si>
  <si>
    <t>DICTAMEN</t>
  </si>
  <si>
    <t>Regla de uso: el dispositivo no pasa a la etapa de borrado o destrucción mientras exista una tarea en estado Pendiente o En proceso. Las tareas que no correspondan al tipo de dispositivo se marcan como No aplica.</t>
  </si>
  <si>
    <t>Dashboard — Estado de la Desvinculación</t>
  </si>
  <si>
    <t>Total tareas</t>
  </si>
  <si>
    <t>En proceso</t>
  </si>
  <si>
    <t>Completado</t>
  </si>
  <si>
    <t>No aplica</t>
  </si>
  <si>
    <t>TOTAL GENERAL</t>
  </si>
  <si>
    <t>Dictamen</t>
  </si>
  <si>
    <t>Nota: cambie el estado de cada tarea en la hoja Checklist. Este dashboard se actualiza automáticamente.</t>
  </si>
  <si>
    <t>Instructivo de Uso de la Plantilla</t>
  </si>
  <si>
    <t>PROPÓSITO</t>
  </si>
  <si>
    <t>Campo</t>
  </si>
  <si>
    <t>Descripción</t>
  </si>
  <si>
    <t>Objetivo</t>
  </si>
  <si>
    <t>Asegurar que el dispositivo dado de baja quede desvinculado de todos los sistemas y servicios corporativos antes de ejecutar el borrado o la destrucción física.</t>
  </si>
  <si>
    <t>Uso</t>
  </si>
  <si>
    <t>Completar una copia de la hoja Checklist por cada dispositivo. Las celdas de fondo amarillo claro y las columnas Estado, Responsable, Fecha y Evidencia son editables; el resto contiene fórmulas.</t>
  </si>
  <si>
    <t>CAMPOS</t>
  </si>
  <si>
    <t>Determina qué tareas aplican. Las tareas marcadas «Móviles» o «Equipos de cómputo» se registran como No aplica cuando no corresponden.</t>
  </si>
  <si>
    <t>Define el alcance de la tarea 6: si el usuario continúa en la organización, su cuenta no se deshabilita; solo se revocan los accesos vinculados al dispositivo.</t>
  </si>
  <si>
    <t>Todos / Móviles / Equipos de cómputo (computadores de escritorio, portátiles y servidores).</t>
  </si>
  <si>
    <t>Pendiente / En proceso / Completado / No aplica.</t>
  </si>
  <si>
    <t>Referencia verificable: captura de la consola, número de revocación del certificado, ticket de la mesa de servicio.</t>
  </si>
  <si>
    <t>Calculado. Indica LISTO PARA BORRADO O DESTRUCCIÓN solo cuando no quedan tareas en estado Pendiente o En proceso.</t>
  </si>
  <si>
    <t>CONSIDERACIONES</t>
  </si>
  <si>
    <t>Claves de recuperación</t>
  </si>
  <si>
    <t>Las claves de BitLocker o FileVault se conservan hasta recibir el certificado de borrado o destrucción; si el proceso falla, permiten acceder al contenido para repetirlo.</t>
  </si>
  <si>
    <t>Aprovisionamiento automático</t>
  </si>
  <si>
    <t>Un dispositivo que permanece registrado en Autopilot, Apple Business Manager o Zero-Touch se reinscribe automáticamente en la organización al restablecerse, incluso en manos de un tercero.</t>
  </si>
  <si>
    <t>Bloqueo de activación</t>
  </si>
  <si>
    <t>Si no se desactiva, el proveedor de borrado no podrá reutilizar el equipo y el certificado podría no emitirse.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</si>
</sst>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10"/>
      <color rgb="FF000000"/>
      <name val="Calibri"/>
      <charset val="1"/>
    </font>
    <font>
      <sz val="9"/>
      <color rgb="FF555555"/>
      <name val="Calibri"/>
      <charset val="1"/>
    </font>
    <font>
      <sz val="9"/>
      <color rgb="FF000000"/>
      <name val="Calibri"/>
      <charset val="1"/>
    </font>
    <font>
      <b/>
      <sz val="10"/>
      <color rgb="FF000000"/>
      <name val="Calibri"/>
      <charset val="1"/>
    </font>
    <font>
      <b/>
      <sz val="11"/>
      <color rgb="FF000000"/>
      <name val="Calibri"/>
      <charset val="1"/>
    </font>
    <font>
      <i/>
      <sz val="9"/>
      <color rgb="FF777777"/>
      <name val="Calibri"/>
      <charset val="1"/>
    </font>
    <font>
      <sz val="10"/>
      <color rgb="FFA32D2D"/>
      <name val="Calibri"/>
      <charset val="1"/>
    </font>
    <font>
      <sz val="10"/>
      <color rgb="FFBA7517"/>
      <name val="Calibri"/>
      <charset val="1"/>
    </font>
    <font>
      <sz val="10"/>
      <color rgb="FF3B6D11"/>
      <name val="Calibri"/>
      <charset val="1"/>
    </font>
    <font>
      <sz val="10"/>
      <color rgb="FF777777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0F3F6E"/>
        <bgColor rgb="FF185FA5"/>
      </patternFill>
    </fill>
    <fill>
      <patternFill patternType="solid">
        <fgColor rgb="FF185FA5"/>
        <bgColor rgb="FF2E6DA4"/>
      </patternFill>
    </fill>
    <fill>
      <patternFill patternType="solid">
        <fgColor rgb="FF2E6DA4"/>
        <bgColor rgb="FF185FA5"/>
      </patternFill>
    </fill>
    <fill>
      <patternFill patternType="solid">
        <fgColor rgb="FFFFF9E6"/>
        <bgColor rgb="FFF5F5F2"/>
      </patternFill>
    </fill>
    <fill>
      <patternFill patternType="solid">
        <fgColor rgb="FF5F5E5A"/>
        <bgColor rgb="FF555555"/>
      </patternFill>
    </fill>
    <fill>
      <patternFill patternType="solid">
        <fgColor rgb="FFFFFFFF"/>
        <bgColor rgb="FFFFF9E6"/>
      </patternFill>
    </fill>
    <fill>
      <patternFill patternType="solid">
        <fgColor rgb="FFF5F5F2"/>
        <bgColor rgb="FFFFF9E6"/>
      </patternFill>
    </fill>
    <fill>
      <patternFill patternType="solid">
        <fgColor rgb="FFBA7517"/>
        <bgColor rgb="FFFF6600"/>
      </patternFill>
    </fill>
    <fill>
      <patternFill patternType="solid">
        <fgColor rgb="FF3B6D11"/>
        <bgColor rgb="FF555555"/>
      </patternFill>
    </fill>
    <fill>
      <patternFill patternType="solid">
        <fgColor rgb="FF534AB7"/>
        <bgColor rgb="FF555555"/>
      </patternFill>
    </fill>
    <fill>
      <patternFill patternType="solid">
        <fgColor rgb="FFA32D2D"/>
        <bgColor rgb="FF993366"/>
      </patternFill>
    </fill>
    <fill>
      <patternFill patternType="solid">
        <fgColor rgb="FFB5D4F4"/>
        <bgColor rgb="FF99CCFF"/>
      </patternFill>
    </fill>
  </fills>
  <borders count="3">
    <border>
      <left/>
      <right/>
      <top/>
      <bottom/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8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164" fontId="7" fillId="7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164" fontId="7" fillId="8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9" fontId="8" fillId="8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color rgb="FF777777"/>
      </font>
    </dxf>
    <dxf>
      <font>
        <b/>
        <color rgb="FFA32D2D"/>
      </font>
    </dxf>
    <dxf>
      <font>
        <b/>
        <color rgb="FFBA7517"/>
      </font>
    </dxf>
    <dxf>
      <font>
        <b/>
        <color rgb="FF3B6D11"/>
      </font>
    </dxf>
    <dxf>
      <font>
        <b/>
        <color rgb="FF3B6D11"/>
      </font>
      <fill>
        <patternFill>
          <bgColor rgb="FFE3EFD9"/>
        </patternFill>
      </fill>
    </dxf>
    <dxf>
      <font>
        <b/>
        <color rgb="FFA32D2D"/>
      </font>
      <fill>
        <patternFill>
          <bgColor rgb="FFF7E1E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777777"/>
      <rgbColor rgb="FF9999FF"/>
      <rgbColor rgb="FF993366"/>
      <rgbColor rgb="FFFFF9E6"/>
      <rgbColor rgb="FFF5F5F2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FD9"/>
      <rgbColor rgb="FFFFFF99"/>
      <rgbColor rgb="FF99CCFF"/>
      <rgbColor rgb="FFFF99CC"/>
      <rgbColor rgb="FFCC99FF"/>
      <rgbColor rgb="FFF7E1E1"/>
      <rgbColor rgb="FF2E6DA4"/>
      <rgbColor rgb="FF33CCCC"/>
      <rgbColor rgb="FF99CC00"/>
      <rgbColor rgb="FFFFCC00"/>
      <rgbColor rgb="FFFF9900"/>
      <rgbColor rgb="FFFF6600"/>
      <rgbColor rgb="FF5F5E5A"/>
      <rgbColor rgb="FF969696"/>
      <rgbColor rgb="FF0F3F6E"/>
      <rgbColor rgb="FF339966"/>
      <rgbColor rgb="FF003300"/>
      <rgbColor rgb="FF333300"/>
      <rgbColor rgb="FFA32D2D"/>
      <rgbColor rgb="FF993366"/>
      <rgbColor rgb="FF534AB7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showGridLines="0" tabSelected="1" zoomScaleNormal="100" workbookViewId="0">
      <pane ySplit="9" topLeftCell="A10" activePane="bottomLeft" state="frozen"/>
      <selection pane="bottomLeft" sqref="A1:H1"/>
    </sheetView>
  </sheetViews>
  <sheetFormatPr baseColWidth="10" defaultColWidth="8.7109375" defaultRowHeight="15" x14ac:dyDescent="0.25"/>
  <cols>
    <col min="1" max="1" width="16" customWidth="1"/>
    <col min="2" max="2" width="5" customWidth="1"/>
    <col min="3" max="3" width="68" customWidth="1"/>
    <col min="4" max="4" width="13" customWidth="1"/>
    <col min="5" max="5" width="14" customWidth="1"/>
    <col min="6" max="6" width="16" customWidth="1"/>
    <col min="7" max="7" width="13" customWidth="1"/>
    <col min="8" max="8" width="32" customWidth="1"/>
  </cols>
  <sheetData>
    <row r="1" spans="1:8" ht="27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21.7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3" spans="1:8" ht="19.5" customHeight="1" x14ac:dyDescent="0.25">
      <c r="A3" s="12" t="s">
        <v>2</v>
      </c>
      <c r="B3" s="12"/>
      <c r="C3" s="12"/>
      <c r="D3" s="12"/>
      <c r="E3" s="12"/>
      <c r="F3" s="12"/>
      <c r="G3" s="12"/>
      <c r="H3" s="12"/>
    </row>
    <row r="4" spans="1:8" ht="19.5" customHeight="1" x14ac:dyDescent="0.25">
      <c r="A4" s="11" t="s">
        <v>3</v>
      </c>
      <c r="B4" s="11"/>
      <c r="C4" s="15"/>
      <c r="D4" s="11" t="s">
        <v>4</v>
      </c>
      <c r="E4" s="11"/>
      <c r="F4" s="10"/>
      <c r="G4" s="10"/>
      <c r="H4" s="10"/>
    </row>
    <row r="5" spans="1:8" ht="19.5" customHeight="1" x14ac:dyDescent="0.25">
      <c r="A5" s="11" t="s">
        <v>5</v>
      </c>
      <c r="B5" s="11"/>
      <c r="C5" s="15"/>
      <c r="D5" s="11" t="s">
        <v>6</v>
      </c>
      <c r="E5" s="11"/>
      <c r="F5" s="10"/>
      <c r="G5" s="10"/>
      <c r="H5" s="10"/>
    </row>
    <row r="6" spans="1:8" ht="19.5" customHeight="1" x14ac:dyDescent="0.25">
      <c r="A6" s="11" t="s">
        <v>7</v>
      </c>
      <c r="B6" s="11"/>
      <c r="C6" s="15"/>
      <c r="D6" s="11" t="s">
        <v>8</v>
      </c>
      <c r="E6" s="11"/>
      <c r="F6" s="10"/>
      <c r="G6" s="10"/>
      <c r="H6" s="10"/>
    </row>
    <row r="7" spans="1:8" ht="19.5" customHeight="1" x14ac:dyDescent="0.25">
      <c r="A7" s="11" t="s">
        <v>9</v>
      </c>
      <c r="B7" s="11"/>
      <c r="C7" s="15"/>
      <c r="D7" s="11" t="s">
        <v>10</v>
      </c>
      <c r="E7" s="11"/>
      <c r="F7" s="9"/>
      <c r="G7" s="9"/>
      <c r="H7" s="9"/>
    </row>
    <row r="9" spans="1:8" ht="21.75" customHeight="1" x14ac:dyDescent="0.25">
      <c r="A9" s="16" t="s">
        <v>11</v>
      </c>
      <c r="B9" s="16" t="s">
        <v>12</v>
      </c>
      <c r="C9" s="16" t="s">
        <v>13</v>
      </c>
      <c r="D9" s="16" t="s">
        <v>14</v>
      </c>
      <c r="E9" s="16" t="s">
        <v>15</v>
      </c>
      <c r="F9" s="16" t="s">
        <v>16</v>
      </c>
      <c r="G9" s="16" t="s">
        <v>17</v>
      </c>
      <c r="H9" s="16" t="s">
        <v>18</v>
      </c>
    </row>
    <row r="10" spans="1:8" ht="33" customHeight="1" x14ac:dyDescent="0.25">
      <c r="A10" s="17" t="s">
        <v>19</v>
      </c>
      <c r="B10" s="18">
        <v>1</v>
      </c>
      <c r="C10" s="19" t="s">
        <v>20</v>
      </c>
      <c r="D10" s="20" t="s">
        <v>21</v>
      </c>
      <c r="E10" s="21" t="s">
        <v>22</v>
      </c>
      <c r="F10" s="22"/>
      <c r="G10" s="23"/>
      <c r="H10" s="22"/>
    </row>
    <row r="11" spans="1:8" ht="33" customHeight="1" x14ac:dyDescent="0.25">
      <c r="A11" s="17"/>
      <c r="B11" s="24">
        <v>2</v>
      </c>
      <c r="C11" s="25" t="s">
        <v>23</v>
      </c>
      <c r="D11" s="26" t="s">
        <v>21</v>
      </c>
      <c r="E11" s="27" t="s">
        <v>22</v>
      </c>
      <c r="F11" s="28"/>
      <c r="G11" s="29"/>
      <c r="H11" s="28"/>
    </row>
    <row r="12" spans="1:8" ht="33" customHeight="1" x14ac:dyDescent="0.25">
      <c r="A12" s="17"/>
      <c r="B12" s="18">
        <v>3</v>
      </c>
      <c r="C12" s="19" t="s">
        <v>24</v>
      </c>
      <c r="D12" s="20" t="s">
        <v>25</v>
      </c>
      <c r="E12" s="21" t="s">
        <v>22</v>
      </c>
      <c r="F12" s="22"/>
      <c r="G12" s="23"/>
      <c r="H12" s="22"/>
    </row>
    <row r="13" spans="1:8" ht="33" customHeight="1" x14ac:dyDescent="0.25">
      <c r="A13" s="30" t="s">
        <v>26</v>
      </c>
      <c r="B13" s="24">
        <v>4</v>
      </c>
      <c r="C13" s="25" t="s">
        <v>27</v>
      </c>
      <c r="D13" s="26" t="s">
        <v>21</v>
      </c>
      <c r="E13" s="27" t="s">
        <v>22</v>
      </c>
      <c r="F13" s="28"/>
      <c r="G13" s="29"/>
      <c r="H13" s="28"/>
    </row>
    <row r="14" spans="1:8" ht="33" customHeight="1" x14ac:dyDescent="0.25">
      <c r="A14" s="30"/>
      <c r="B14" s="18">
        <v>5</v>
      </c>
      <c r="C14" s="19" t="s">
        <v>28</v>
      </c>
      <c r="D14" s="20" t="s">
        <v>21</v>
      </c>
      <c r="E14" s="21" t="s">
        <v>22</v>
      </c>
      <c r="F14" s="22"/>
      <c r="G14" s="23"/>
      <c r="H14" s="22"/>
    </row>
    <row r="15" spans="1:8" ht="43.5" customHeight="1" x14ac:dyDescent="0.25">
      <c r="A15" s="30"/>
      <c r="B15" s="24">
        <v>6</v>
      </c>
      <c r="C15" s="25" t="s">
        <v>29</v>
      </c>
      <c r="D15" s="26" t="s">
        <v>21</v>
      </c>
      <c r="E15" s="27" t="s">
        <v>22</v>
      </c>
      <c r="F15" s="28"/>
      <c r="G15" s="29"/>
      <c r="H15" s="28"/>
    </row>
    <row r="16" spans="1:8" ht="43.5" customHeight="1" x14ac:dyDescent="0.25">
      <c r="A16" s="30"/>
      <c r="B16" s="18">
        <v>7</v>
      </c>
      <c r="C16" s="19" t="s">
        <v>30</v>
      </c>
      <c r="D16" s="20" t="s">
        <v>21</v>
      </c>
      <c r="E16" s="21" t="s">
        <v>22</v>
      </c>
      <c r="F16" s="22"/>
      <c r="G16" s="23"/>
      <c r="H16" s="22"/>
    </row>
    <row r="17" spans="1:8" ht="33" customHeight="1" x14ac:dyDescent="0.25">
      <c r="A17" s="31" t="s">
        <v>31</v>
      </c>
      <c r="B17" s="24">
        <v>8</v>
      </c>
      <c r="C17" s="25" t="s">
        <v>32</v>
      </c>
      <c r="D17" s="26" t="s">
        <v>21</v>
      </c>
      <c r="E17" s="27" t="s">
        <v>22</v>
      </c>
      <c r="F17" s="28"/>
      <c r="G17" s="29"/>
      <c r="H17" s="28"/>
    </row>
    <row r="18" spans="1:8" ht="43.5" customHeight="1" x14ac:dyDescent="0.25">
      <c r="A18" s="31"/>
      <c r="B18" s="18">
        <v>9</v>
      </c>
      <c r="C18" s="19" t="s">
        <v>33</v>
      </c>
      <c r="D18" s="20" t="s">
        <v>21</v>
      </c>
      <c r="E18" s="21" t="s">
        <v>22</v>
      </c>
      <c r="F18" s="22"/>
      <c r="G18" s="23"/>
      <c r="H18" s="22"/>
    </row>
    <row r="19" spans="1:8" ht="33" customHeight="1" x14ac:dyDescent="0.25">
      <c r="A19" s="31"/>
      <c r="B19" s="24">
        <v>10</v>
      </c>
      <c r="C19" s="25" t="s">
        <v>34</v>
      </c>
      <c r="D19" s="26" t="s">
        <v>21</v>
      </c>
      <c r="E19" s="27" t="s">
        <v>22</v>
      </c>
      <c r="F19" s="28"/>
      <c r="G19" s="29"/>
      <c r="H19" s="28"/>
    </row>
    <row r="20" spans="1:8" ht="33" customHeight="1" x14ac:dyDescent="0.25">
      <c r="A20" s="32" t="s">
        <v>35</v>
      </c>
      <c r="B20" s="18">
        <v>11</v>
      </c>
      <c r="C20" s="19" t="s">
        <v>36</v>
      </c>
      <c r="D20" s="20" t="s">
        <v>21</v>
      </c>
      <c r="E20" s="21" t="s">
        <v>22</v>
      </c>
      <c r="F20" s="22"/>
      <c r="G20" s="23"/>
      <c r="H20" s="22"/>
    </row>
    <row r="21" spans="1:8" ht="33" customHeight="1" x14ac:dyDescent="0.25">
      <c r="A21" s="32"/>
      <c r="B21" s="24">
        <v>12</v>
      </c>
      <c r="C21" s="25" t="s">
        <v>37</v>
      </c>
      <c r="D21" s="26" t="s">
        <v>21</v>
      </c>
      <c r="E21" s="27" t="s">
        <v>22</v>
      </c>
      <c r="F21" s="28"/>
      <c r="G21" s="29"/>
      <c r="H21" s="28"/>
    </row>
    <row r="22" spans="1:8" ht="33" customHeight="1" x14ac:dyDescent="0.25">
      <c r="A22" s="32"/>
      <c r="B22" s="18">
        <v>13</v>
      </c>
      <c r="C22" s="19" t="s">
        <v>38</v>
      </c>
      <c r="D22" s="20" t="s">
        <v>21</v>
      </c>
      <c r="E22" s="21" t="s">
        <v>22</v>
      </c>
      <c r="F22" s="22"/>
      <c r="G22" s="23"/>
      <c r="H22" s="22"/>
    </row>
    <row r="23" spans="1:8" ht="33" customHeight="1" x14ac:dyDescent="0.25">
      <c r="A23" s="32"/>
      <c r="B23" s="24">
        <v>14</v>
      </c>
      <c r="C23" s="25" t="s">
        <v>39</v>
      </c>
      <c r="D23" s="26" t="s">
        <v>21</v>
      </c>
      <c r="E23" s="27" t="s">
        <v>22</v>
      </c>
      <c r="F23" s="28"/>
      <c r="G23" s="29"/>
      <c r="H23" s="28"/>
    </row>
    <row r="24" spans="1:8" ht="33" customHeight="1" x14ac:dyDescent="0.25">
      <c r="A24" s="32"/>
      <c r="B24" s="18">
        <v>15</v>
      </c>
      <c r="C24" s="19" t="s">
        <v>40</v>
      </c>
      <c r="D24" s="20" t="s">
        <v>21</v>
      </c>
      <c r="E24" s="21" t="s">
        <v>22</v>
      </c>
      <c r="F24" s="22"/>
      <c r="G24" s="23"/>
      <c r="H24" s="22"/>
    </row>
    <row r="25" spans="1:8" ht="33" customHeight="1" x14ac:dyDescent="0.25">
      <c r="A25" s="33" t="s">
        <v>41</v>
      </c>
      <c r="B25" s="24">
        <v>16</v>
      </c>
      <c r="C25" s="25" t="s">
        <v>42</v>
      </c>
      <c r="D25" s="26" t="s">
        <v>21</v>
      </c>
      <c r="E25" s="27" t="s">
        <v>22</v>
      </c>
      <c r="F25" s="28"/>
      <c r="G25" s="29"/>
      <c r="H25" s="28"/>
    </row>
    <row r="26" spans="1:8" ht="43.5" customHeight="1" x14ac:dyDescent="0.25">
      <c r="A26" s="33"/>
      <c r="B26" s="18">
        <v>17</v>
      </c>
      <c r="C26" s="19" t="s">
        <v>43</v>
      </c>
      <c r="D26" s="20" t="s">
        <v>21</v>
      </c>
      <c r="E26" s="21" t="s">
        <v>22</v>
      </c>
      <c r="F26" s="22"/>
      <c r="G26" s="23"/>
      <c r="H26" s="22"/>
    </row>
    <row r="27" spans="1:8" ht="43.5" customHeight="1" x14ac:dyDescent="0.25">
      <c r="A27" s="33"/>
      <c r="B27" s="24">
        <v>18</v>
      </c>
      <c r="C27" s="25" t="s">
        <v>44</v>
      </c>
      <c r="D27" s="26" t="s">
        <v>45</v>
      </c>
      <c r="E27" s="27" t="s">
        <v>22</v>
      </c>
      <c r="F27" s="28"/>
      <c r="G27" s="29"/>
      <c r="H27" s="28"/>
    </row>
    <row r="28" spans="1:8" ht="33" customHeight="1" x14ac:dyDescent="0.25">
      <c r="A28" s="33"/>
      <c r="B28" s="18">
        <v>19</v>
      </c>
      <c r="C28" s="19" t="s">
        <v>46</v>
      </c>
      <c r="D28" s="20" t="s">
        <v>25</v>
      </c>
      <c r="E28" s="21" t="s">
        <v>22</v>
      </c>
      <c r="F28" s="22"/>
      <c r="G28" s="23"/>
      <c r="H28" s="22"/>
    </row>
    <row r="29" spans="1:8" ht="33" customHeight="1" x14ac:dyDescent="0.25">
      <c r="A29" s="33"/>
      <c r="B29" s="24">
        <v>20</v>
      </c>
      <c r="C29" s="25" t="s">
        <v>47</v>
      </c>
      <c r="D29" s="26" t="s">
        <v>21</v>
      </c>
      <c r="E29" s="27" t="s">
        <v>22</v>
      </c>
      <c r="F29" s="28"/>
      <c r="G29" s="29"/>
      <c r="H29" s="28"/>
    </row>
    <row r="30" spans="1:8" ht="33" customHeight="1" x14ac:dyDescent="0.25">
      <c r="A30" s="34" t="s">
        <v>48</v>
      </c>
      <c r="B30" s="18">
        <v>21</v>
      </c>
      <c r="C30" s="19" t="s">
        <v>49</v>
      </c>
      <c r="D30" s="20" t="s">
        <v>21</v>
      </c>
      <c r="E30" s="21" t="s">
        <v>22</v>
      </c>
      <c r="F30" s="22"/>
      <c r="G30" s="23"/>
      <c r="H30" s="22"/>
    </row>
    <row r="31" spans="1:8" ht="33" customHeight="1" x14ac:dyDescent="0.25">
      <c r="A31" s="34"/>
      <c r="B31" s="24">
        <v>22</v>
      </c>
      <c r="C31" s="25" t="s">
        <v>50</v>
      </c>
      <c r="D31" s="26" t="s">
        <v>21</v>
      </c>
      <c r="E31" s="27" t="s">
        <v>22</v>
      </c>
      <c r="F31" s="28"/>
      <c r="G31" s="29"/>
      <c r="H31" s="28"/>
    </row>
    <row r="32" spans="1:8" ht="43.5" customHeight="1" x14ac:dyDescent="0.25">
      <c r="A32" s="35" t="s">
        <v>51</v>
      </c>
      <c r="B32" s="18">
        <v>23</v>
      </c>
      <c r="C32" s="19" t="s">
        <v>52</v>
      </c>
      <c r="D32" s="20" t="s">
        <v>21</v>
      </c>
      <c r="E32" s="21" t="s">
        <v>22</v>
      </c>
      <c r="F32" s="22"/>
      <c r="G32" s="23"/>
      <c r="H32" s="22"/>
    </row>
    <row r="33" spans="1:8" ht="33" customHeight="1" x14ac:dyDescent="0.25">
      <c r="A33" s="35"/>
      <c r="B33" s="24">
        <v>24</v>
      </c>
      <c r="C33" s="25" t="s">
        <v>53</v>
      </c>
      <c r="D33" s="26" t="s">
        <v>21</v>
      </c>
      <c r="E33" s="27" t="s">
        <v>22</v>
      </c>
      <c r="F33" s="28"/>
      <c r="G33" s="29"/>
      <c r="H33" s="28"/>
    </row>
    <row r="34" spans="1:8" ht="33" customHeight="1" x14ac:dyDescent="0.25">
      <c r="A34" s="35"/>
      <c r="B34" s="18">
        <v>25</v>
      </c>
      <c r="C34" s="19" t="s">
        <v>54</v>
      </c>
      <c r="D34" s="20" t="s">
        <v>21</v>
      </c>
      <c r="E34" s="21" t="s">
        <v>22</v>
      </c>
      <c r="F34" s="22"/>
      <c r="G34" s="23"/>
      <c r="H34" s="22"/>
    </row>
    <row r="36" spans="1:8" ht="15" customHeight="1" x14ac:dyDescent="0.25">
      <c r="A36" s="8" t="s">
        <v>55</v>
      </c>
      <c r="B36" s="8"/>
      <c r="C36" s="8"/>
      <c r="D36" s="8"/>
      <c r="E36" s="8"/>
      <c r="F36" s="8"/>
      <c r="G36" s="8"/>
      <c r="H36" s="8"/>
    </row>
    <row r="37" spans="1:8" ht="19.5" customHeight="1" x14ac:dyDescent="0.25">
      <c r="A37" s="7" t="s">
        <v>56</v>
      </c>
      <c r="B37" s="7"/>
      <c r="C37" s="7"/>
      <c r="D37" s="36">
        <f>COUNTIF($E$10:$E$34,"Completado")</f>
        <v>0</v>
      </c>
    </row>
    <row r="38" spans="1:8" ht="19.5" customHeight="1" x14ac:dyDescent="0.25">
      <c r="A38" s="6" t="s">
        <v>57</v>
      </c>
      <c r="B38" s="6"/>
      <c r="C38" s="6"/>
      <c r="D38" s="37">
        <f>COUNTIF($E$10:$E$34,"Pendiente")+COUNTIF($E$10:$E$34,"En proceso")</f>
        <v>25</v>
      </c>
    </row>
    <row r="39" spans="1:8" ht="19.5" customHeight="1" x14ac:dyDescent="0.25">
      <c r="A39" s="7" t="s">
        <v>58</v>
      </c>
      <c r="B39" s="7"/>
      <c r="C39" s="7"/>
      <c r="D39" s="36">
        <f>COUNTIF($E$10:$E$34,"No aplica")</f>
        <v>0</v>
      </c>
    </row>
    <row r="40" spans="1:8" ht="19.5" customHeight="1" x14ac:dyDescent="0.25">
      <c r="A40" s="6" t="s">
        <v>59</v>
      </c>
      <c r="B40" s="6"/>
      <c r="C40" s="6"/>
      <c r="D40" s="38">
        <f>IFERROR(COUNTIF($E$10:$E$34,"Completado")/(ROWS($E$10:$E$34)-COUNTIF($E$10:$E$34,"No aplica")),0)</f>
        <v>0</v>
      </c>
    </row>
    <row r="41" spans="1:8" ht="25.5" customHeight="1" x14ac:dyDescent="0.25">
      <c r="A41" s="5" t="s">
        <v>60</v>
      </c>
      <c r="B41" s="5"/>
      <c r="C41" s="5"/>
      <c r="D41" s="4" t="str">
        <f>IF(D38&gt;0,"NO LISTO — existen accesos sin revocar","LISTO PARA BORRADO O DESTRUCCIÓN")</f>
        <v>NO LISTO — existen accesos sin revocar</v>
      </c>
      <c r="E41" s="4"/>
      <c r="F41" s="4"/>
      <c r="G41" s="4"/>
      <c r="H41" s="4"/>
    </row>
    <row r="42" spans="1:8" ht="30" customHeight="1" x14ac:dyDescent="0.25">
      <c r="A42" s="3" t="s">
        <v>61</v>
      </c>
      <c r="B42" s="3"/>
      <c r="C42" s="3"/>
      <c r="D42" s="3"/>
      <c r="E42" s="3"/>
      <c r="F42" s="3"/>
      <c r="G42" s="3"/>
      <c r="H42" s="3"/>
    </row>
  </sheetData>
  <mergeCells count="23">
    <mergeCell ref="A42:H42"/>
    <mergeCell ref="A38:C38"/>
    <mergeCell ref="A39:C39"/>
    <mergeCell ref="A40:C40"/>
    <mergeCell ref="A41:C41"/>
    <mergeCell ref="D41:H41"/>
    <mergeCell ref="A7:B7"/>
    <mergeCell ref="D7:E7"/>
    <mergeCell ref="F7:H7"/>
    <mergeCell ref="A36:H36"/>
    <mergeCell ref="A37:C37"/>
    <mergeCell ref="A5:B5"/>
    <mergeCell ref="D5:E5"/>
    <mergeCell ref="F5:H5"/>
    <mergeCell ref="A6:B6"/>
    <mergeCell ref="D6:E6"/>
    <mergeCell ref="F6:H6"/>
    <mergeCell ref="A1:H1"/>
    <mergeCell ref="A2:H2"/>
    <mergeCell ref="A3:H3"/>
    <mergeCell ref="A4:B4"/>
    <mergeCell ref="D4:E4"/>
    <mergeCell ref="F4:H4"/>
  </mergeCells>
  <conditionalFormatting sqref="D41">
    <cfRule type="expression" dxfId="5" priority="6">
      <formula>LEFT($D$41,2)="NO"</formula>
    </cfRule>
    <cfRule type="expression" dxfId="4" priority="7">
      <formula>LEFT($D$41,5)="LISTO"</formula>
    </cfRule>
  </conditionalFormatting>
  <conditionalFormatting sqref="E10:E34">
    <cfRule type="cellIs" dxfId="3" priority="2" operator="equal">
      <formula>"Completado"</formula>
    </cfRule>
    <cfRule type="cellIs" dxfId="2" priority="3" operator="equal">
      <formula>"En proceso"</formula>
    </cfRule>
    <cfRule type="cellIs" dxfId="1" priority="4" operator="equal">
      <formula>"Pendiente"</formula>
    </cfRule>
    <cfRule type="cellIs" dxfId="0" priority="5" operator="equal">
      <formula>"No aplica"</formula>
    </cfRule>
  </conditionalFormatting>
  <dataValidations count="5">
    <dataValidation type="list" allowBlank="1" sqref="F4" xr:uid="{00000000-0002-0000-0000-000000000000}">
      <formula1>"Computador de escritorio,Portátil,Servidor,Teléfono móvil,Tableta,Otro"</formula1>
      <formula2>0</formula2>
    </dataValidation>
    <dataValidation type="list" allowBlank="1" sqref="C6" xr:uid="{00000000-0002-0000-0000-000001000000}">
      <formula1>"Fin de vida útil,Falla irreparable,Reemplazo por renovación,Pérdida o robo,Retiro del colaborador"</formula1>
      <formula2>0</formula2>
    </dataValidation>
    <dataValidation type="list" allowBlank="1" sqref="F5" xr:uid="{00000000-0002-0000-0000-000002000000}">
      <formula1>"Continúa en la organización,Se retira de la organización,Sin usuario asignado"</formula1>
      <formula2>0</formula2>
    </dataValidation>
    <dataValidation type="list" allowBlank="1" sqref="E10:E34" xr:uid="{00000000-0002-0000-0000-000003000000}">
      <formula1>"Pendiente,En proceso,Completado,No aplica"</formula1>
      <formula2>0</formula2>
    </dataValidation>
    <dataValidation type="date" operator="greaterThan" allowBlank="1" sqref="F7 G10:G34" xr:uid="{00000000-0002-0000-0000-000004000000}">
      <formula1>36526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4"/>
  <sheetViews>
    <sheetView showGridLines="0" zoomScaleNormal="100" workbookViewId="0"/>
  </sheetViews>
  <sheetFormatPr baseColWidth="10" defaultColWidth="8.7109375" defaultRowHeight="15" x14ac:dyDescent="0.25"/>
  <cols>
    <col min="1" max="1" width="32" customWidth="1"/>
    <col min="2" max="6" width="13" customWidth="1"/>
  </cols>
  <sheetData>
    <row r="1" spans="1:6" ht="27.75" customHeight="1" x14ac:dyDescent="0.25">
      <c r="A1" s="14" t="s">
        <v>0</v>
      </c>
      <c r="B1" s="14"/>
      <c r="C1" s="14"/>
      <c r="D1" s="14"/>
      <c r="E1" s="14"/>
      <c r="F1" s="14"/>
    </row>
    <row r="2" spans="1:6" ht="21.75" customHeight="1" x14ac:dyDescent="0.25">
      <c r="A2" s="13" t="s">
        <v>62</v>
      </c>
      <c r="B2" s="13"/>
      <c r="C2" s="13"/>
      <c r="D2" s="13"/>
      <c r="E2" s="13"/>
      <c r="F2" s="13"/>
    </row>
    <row r="3" spans="1:6" x14ac:dyDescent="0.25">
      <c r="A3" s="16" t="s">
        <v>11</v>
      </c>
      <c r="B3" s="16" t="s">
        <v>63</v>
      </c>
      <c r="C3" s="16" t="s">
        <v>22</v>
      </c>
      <c r="D3" s="16" t="s">
        <v>64</v>
      </c>
      <c r="E3" s="16" t="s">
        <v>65</v>
      </c>
      <c r="F3" s="16" t="s">
        <v>66</v>
      </c>
    </row>
    <row r="4" spans="1:6" ht="24" customHeight="1" x14ac:dyDescent="0.25">
      <c r="A4" s="39" t="s">
        <v>19</v>
      </c>
      <c r="B4" s="37">
        <f>ROWS(Checklist!E10:E12)</f>
        <v>3</v>
      </c>
      <c r="C4" s="40">
        <f>COUNTIF(Checklist!E10:E12,"Pendiente")</f>
        <v>3</v>
      </c>
      <c r="D4" s="41">
        <f>COUNTIF(Checklist!E10:E12,"En proceso")</f>
        <v>0</v>
      </c>
      <c r="E4" s="42">
        <f>COUNTIF(Checklist!E10:E12,"Completado")</f>
        <v>0</v>
      </c>
      <c r="F4" s="43">
        <f>COUNTIF(Checklist!E10:E12,"No aplica")</f>
        <v>0</v>
      </c>
    </row>
    <row r="5" spans="1:6" ht="24" customHeight="1" x14ac:dyDescent="0.25">
      <c r="A5" s="16" t="s">
        <v>26</v>
      </c>
      <c r="B5" s="36">
        <f>ROWS(Checklist!E13:E16)</f>
        <v>4</v>
      </c>
      <c r="C5" s="44">
        <f>COUNTIF(Checklist!E13:E16,"Pendiente")</f>
        <v>4</v>
      </c>
      <c r="D5" s="45">
        <f>COUNTIF(Checklist!E13:E16,"En proceso")</f>
        <v>0</v>
      </c>
      <c r="E5" s="46">
        <f>COUNTIF(Checklist!E13:E16,"Completado")</f>
        <v>0</v>
      </c>
      <c r="F5" s="47">
        <f>COUNTIF(Checklist!E13:E16,"No aplica")</f>
        <v>0</v>
      </c>
    </row>
    <row r="6" spans="1:6" ht="24" customHeight="1" x14ac:dyDescent="0.25">
      <c r="A6" s="48" t="s">
        <v>31</v>
      </c>
      <c r="B6" s="37">
        <f>ROWS(Checklist!E17:E19)</f>
        <v>3</v>
      </c>
      <c r="C6" s="40">
        <f>COUNTIF(Checklist!E17:E19,"Pendiente")</f>
        <v>3</v>
      </c>
      <c r="D6" s="41">
        <f>COUNTIF(Checklist!E17:E19,"En proceso")</f>
        <v>0</v>
      </c>
      <c r="E6" s="42">
        <f>COUNTIF(Checklist!E17:E19,"Completado")</f>
        <v>0</v>
      </c>
      <c r="F6" s="43">
        <f>COUNTIF(Checklist!E17:E19,"No aplica")</f>
        <v>0</v>
      </c>
    </row>
    <row r="7" spans="1:6" ht="24" customHeight="1" x14ac:dyDescent="0.25">
      <c r="A7" s="49" t="s">
        <v>35</v>
      </c>
      <c r="B7" s="36">
        <f>ROWS(Checklist!E20:E24)</f>
        <v>5</v>
      </c>
      <c r="C7" s="44">
        <f>COUNTIF(Checklist!E20:E24,"Pendiente")</f>
        <v>5</v>
      </c>
      <c r="D7" s="45">
        <f>COUNTIF(Checklist!E20:E24,"En proceso")</f>
        <v>0</v>
      </c>
      <c r="E7" s="46">
        <f>COUNTIF(Checklist!E20:E24,"Completado")</f>
        <v>0</v>
      </c>
      <c r="F7" s="47">
        <f>COUNTIF(Checklist!E20:E24,"No aplica")</f>
        <v>0</v>
      </c>
    </row>
    <row r="8" spans="1:6" ht="24" customHeight="1" x14ac:dyDescent="0.25">
      <c r="A8" s="50" t="s">
        <v>41</v>
      </c>
      <c r="B8" s="37">
        <f>ROWS(Checklist!E25:E29)</f>
        <v>5</v>
      </c>
      <c r="C8" s="40">
        <f>COUNTIF(Checklist!E25:E29,"Pendiente")</f>
        <v>5</v>
      </c>
      <c r="D8" s="41">
        <f>COUNTIF(Checklist!E25:E29,"En proceso")</f>
        <v>0</v>
      </c>
      <c r="E8" s="42">
        <f>COUNTIF(Checklist!E25:E29,"Completado")</f>
        <v>0</v>
      </c>
      <c r="F8" s="43">
        <f>COUNTIF(Checklist!E25:E29,"No aplica")</f>
        <v>0</v>
      </c>
    </row>
    <row r="9" spans="1:6" ht="24" customHeight="1" x14ac:dyDescent="0.25">
      <c r="A9" s="51" t="s">
        <v>48</v>
      </c>
      <c r="B9" s="36">
        <f>ROWS(Checklist!E30:E31)</f>
        <v>2</v>
      </c>
      <c r="C9" s="44">
        <f>COUNTIF(Checklist!E30:E31,"Pendiente")</f>
        <v>2</v>
      </c>
      <c r="D9" s="45">
        <f>COUNTIF(Checklist!E30:E31,"En proceso")</f>
        <v>0</v>
      </c>
      <c r="E9" s="46">
        <f>COUNTIF(Checklist!E30:E31,"Completado")</f>
        <v>0</v>
      </c>
      <c r="F9" s="47">
        <f>COUNTIF(Checklist!E30:E31,"No aplica")</f>
        <v>0</v>
      </c>
    </row>
    <row r="10" spans="1:6" ht="24" customHeight="1" x14ac:dyDescent="0.25">
      <c r="A10" s="52" t="s">
        <v>51</v>
      </c>
      <c r="B10" s="37">
        <f>ROWS(Checklist!E32:E34)</f>
        <v>3</v>
      </c>
      <c r="C10" s="40">
        <f>COUNTIF(Checklist!E32:E34,"Pendiente")</f>
        <v>3</v>
      </c>
      <c r="D10" s="41">
        <f>COUNTIF(Checklist!E32:E34,"En proceso")</f>
        <v>0</v>
      </c>
      <c r="E10" s="42">
        <f>COUNTIF(Checklist!E32:E34,"Completado")</f>
        <v>0</v>
      </c>
      <c r="F10" s="43">
        <f>COUNTIF(Checklist!E32:E34,"No aplica")</f>
        <v>0</v>
      </c>
    </row>
    <row r="11" spans="1:6" x14ac:dyDescent="0.25">
      <c r="A11" s="53" t="s">
        <v>67</v>
      </c>
      <c r="B11" s="54">
        <f>SUM(B4:B10)</f>
        <v>25</v>
      </c>
      <c r="C11" s="54">
        <f>SUM(C4:C10)</f>
        <v>25</v>
      </c>
      <c r="D11" s="54">
        <f>SUM(D4:D10)</f>
        <v>0</v>
      </c>
      <c r="E11" s="54">
        <f>SUM(E4:E10)</f>
        <v>0</v>
      </c>
      <c r="F11" s="54">
        <f>SUM(F4:F10)</f>
        <v>0</v>
      </c>
    </row>
    <row r="12" spans="1:6" ht="15" customHeight="1" x14ac:dyDescent="0.25">
      <c r="A12" s="2" t="s">
        <v>68</v>
      </c>
      <c r="B12" s="2"/>
      <c r="C12" s="1" t="str">
        <f>Checklist!D41</f>
        <v>NO LISTO — existen accesos sin revocar</v>
      </c>
      <c r="D12" s="1"/>
      <c r="E12" s="1"/>
      <c r="F12" s="1"/>
    </row>
    <row r="14" spans="1:6" ht="15" customHeight="1" x14ac:dyDescent="0.25">
      <c r="A14" s="3" t="s">
        <v>69</v>
      </c>
      <c r="B14" s="3"/>
      <c r="C14" s="3"/>
      <c r="D14" s="3"/>
      <c r="E14" s="3"/>
      <c r="F14" s="3"/>
    </row>
  </sheetData>
  <mergeCells count="5">
    <mergeCell ref="A1:F1"/>
    <mergeCell ref="A2:F2"/>
    <mergeCell ref="A12:B12"/>
    <mergeCell ref="C12:F12"/>
    <mergeCell ref="A14:F1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9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100" customWidth="1"/>
  </cols>
  <sheetData>
    <row r="1" spans="1:2" ht="27.75" customHeight="1" x14ac:dyDescent="0.25">
      <c r="A1" s="14" t="s">
        <v>0</v>
      </c>
      <c r="B1" s="14"/>
    </row>
    <row r="2" spans="1:2" ht="21.75" customHeight="1" x14ac:dyDescent="0.25">
      <c r="A2" s="13" t="s">
        <v>70</v>
      </c>
      <c r="B2" s="13"/>
    </row>
    <row r="3" spans="1:2" ht="15" customHeight="1" x14ac:dyDescent="0.25">
      <c r="A3" s="57" t="s">
        <v>71</v>
      </c>
      <c r="B3" s="57"/>
    </row>
    <row r="4" spans="1:2" x14ac:dyDescent="0.25">
      <c r="A4" s="48" t="s">
        <v>72</v>
      </c>
      <c r="B4" s="48" t="s">
        <v>73</v>
      </c>
    </row>
    <row r="5" spans="1:2" ht="36" customHeight="1" x14ac:dyDescent="0.25">
      <c r="A5" s="55" t="s">
        <v>74</v>
      </c>
      <c r="B5" s="19" t="s">
        <v>75</v>
      </c>
    </row>
    <row r="6" spans="1:2" ht="36" customHeight="1" x14ac:dyDescent="0.25">
      <c r="A6" s="56" t="s">
        <v>76</v>
      </c>
      <c r="B6" s="25" t="s">
        <v>77</v>
      </c>
    </row>
    <row r="7" spans="1:2" ht="15" customHeight="1" x14ac:dyDescent="0.25">
      <c r="A7" s="57" t="s">
        <v>78</v>
      </c>
      <c r="B7" s="57"/>
    </row>
    <row r="8" spans="1:2" x14ac:dyDescent="0.25">
      <c r="A8" s="48" t="s">
        <v>72</v>
      </c>
      <c r="B8" s="48" t="s">
        <v>73</v>
      </c>
    </row>
    <row r="9" spans="1:2" ht="36" customHeight="1" x14ac:dyDescent="0.25">
      <c r="A9" s="55" t="s">
        <v>4</v>
      </c>
      <c r="B9" s="19" t="s">
        <v>79</v>
      </c>
    </row>
    <row r="10" spans="1:2" ht="36" customHeight="1" x14ac:dyDescent="0.25">
      <c r="A10" s="56" t="s">
        <v>8</v>
      </c>
      <c r="B10" s="25" t="s">
        <v>80</v>
      </c>
    </row>
    <row r="11" spans="1:2" ht="21.75" customHeight="1" x14ac:dyDescent="0.25">
      <c r="A11" s="55" t="s">
        <v>14</v>
      </c>
      <c r="B11" s="19" t="s">
        <v>81</v>
      </c>
    </row>
    <row r="12" spans="1:2" ht="21.75" customHeight="1" x14ac:dyDescent="0.25">
      <c r="A12" s="56" t="s">
        <v>15</v>
      </c>
      <c r="B12" s="25" t="s">
        <v>82</v>
      </c>
    </row>
    <row r="13" spans="1:2" ht="36" customHeight="1" x14ac:dyDescent="0.25">
      <c r="A13" s="55" t="s">
        <v>18</v>
      </c>
      <c r="B13" s="19" t="s">
        <v>83</v>
      </c>
    </row>
    <row r="14" spans="1:2" ht="36" customHeight="1" x14ac:dyDescent="0.25">
      <c r="A14" s="56" t="s">
        <v>68</v>
      </c>
      <c r="B14" s="25" t="s">
        <v>84</v>
      </c>
    </row>
    <row r="15" spans="1:2" ht="15" customHeight="1" x14ac:dyDescent="0.25">
      <c r="A15" s="57" t="s">
        <v>85</v>
      </c>
      <c r="B15" s="57"/>
    </row>
    <row r="16" spans="1:2" x14ac:dyDescent="0.25">
      <c r="A16" s="48" t="s">
        <v>72</v>
      </c>
      <c r="B16" s="48" t="s">
        <v>73</v>
      </c>
    </row>
    <row r="17" spans="1:2" ht="36" customHeight="1" x14ac:dyDescent="0.25">
      <c r="A17" s="55" t="s">
        <v>86</v>
      </c>
      <c r="B17" s="19" t="s">
        <v>87</v>
      </c>
    </row>
    <row r="18" spans="1:2" ht="36" customHeight="1" x14ac:dyDescent="0.25">
      <c r="A18" s="56" t="s">
        <v>88</v>
      </c>
      <c r="B18" s="25" t="s">
        <v>89</v>
      </c>
    </row>
    <row r="19" spans="1:2" ht="36" customHeight="1" x14ac:dyDescent="0.25">
      <c r="A19" s="55" t="s">
        <v>90</v>
      </c>
      <c r="B19" s="19" t="s">
        <v>91</v>
      </c>
    </row>
  </sheetData>
  <mergeCells count="5">
    <mergeCell ref="A1:B1"/>
    <mergeCell ref="A2:B2"/>
    <mergeCell ref="A3:B3"/>
    <mergeCell ref="A7:B7"/>
    <mergeCell ref="A15:B15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2026-09-24T13:38:59Z</dcterms:created>
  <dcterms:modified xsi:type="dcterms:W3CDTF">2026-09-24T14:16:05Z</dcterms:modified>
  <dc:language>en-US</dc:language>
</cp:coreProperties>
</file>