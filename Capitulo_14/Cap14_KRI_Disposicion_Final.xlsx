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openitsoft-my.sharepoint.com/personal/mvergara_openitnet_com/Documents/Desktop/"/>
    </mc:Choice>
  </mc:AlternateContent>
  <xr:revisionPtr revIDLastSave="1" documentId="11_B2ADA64FBF22BF2C5D245A9BACCED3B1A7525FC0" xr6:coauthVersionLast="47" xr6:coauthVersionMax="47" xr10:uidLastSave="{DB05536F-82C1-46A3-A563-315EAA5428DE}"/>
  <bookViews>
    <workbookView xWindow="2730" yWindow="2730" windowWidth="21600" windowHeight="11505" tabRatio="500" xr2:uid="{00000000-000D-0000-FFFF-FFFF00000000}"/>
  </bookViews>
  <sheets>
    <sheet name="KRI" sheetId="1" r:id="rId1"/>
    <sheet name="Historial" sheetId="2" r:id="rId2"/>
    <sheet name="Dashboard" sheetId="3" r:id="rId3"/>
    <sheet name="Instructivo" sheetId="4" r:id="rId4"/>
  </sheets>
  <definedNames>
    <definedName name="_xlnm._FilterDatabase" localSheetId="1" hidden="1">Historial!$A$3:$H$153</definedName>
    <definedName name="_xlnm.Print_Titles" localSheetId="1">Historial!$3:$3</definedName>
    <definedName name="_xlnm.Print_Titles" localSheetId="0">KRI!$3:$3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18" i="3" l="1"/>
  <c r="A18" i="3"/>
  <c r="B17" i="3"/>
  <c r="A17" i="3"/>
  <c r="B16" i="3"/>
  <c r="A16" i="3"/>
  <c r="B15" i="3"/>
  <c r="A15" i="3"/>
  <c r="B14" i="3"/>
  <c r="A14" i="3"/>
  <c r="B13" i="3"/>
  <c r="A13" i="3"/>
  <c r="B12" i="3"/>
  <c r="A12" i="3"/>
  <c r="B11" i="3"/>
  <c r="A11" i="3"/>
  <c r="E6" i="3"/>
  <c r="D6" i="3"/>
  <c r="C6" i="3"/>
  <c r="B6" i="3"/>
  <c r="F6" i="3" s="1"/>
  <c r="E5" i="3"/>
  <c r="D5" i="3"/>
  <c r="C5" i="3"/>
  <c r="B5" i="3"/>
  <c r="F5" i="3" s="1"/>
  <c r="E4" i="3"/>
  <c r="E7" i="3" s="1"/>
  <c r="D4" i="3"/>
  <c r="D7" i="3" s="1"/>
  <c r="C4" i="3"/>
  <c r="C7" i="3" s="1"/>
  <c r="B4" i="3"/>
  <c r="E153" i="2"/>
  <c r="C153" i="2"/>
  <c r="E152" i="2"/>
  <c r="C152" i="2"/>
  <c r="E151" i="2"/>
  <c r="C151" i="2"/>
  <c r="E150" i="2"/>
  <c r="C150" i="2"/>
  <c r="E149" i="2"/>
  <c r="C149" i="2"/>
  <c r="E148" i="2"/>
  <c r="C148" i="2"/>
  <c r="E147" i="2"/>
  <c r="C147" i="2"/>
  <c r="E146" i="2"/>
  <c r="C146" i="2"/>
  <c r="E145" i="2"/>
  <c r="C145" i="2"/>
  <c r="E144" i="2"/>
  <c r="C144" i="2"/>
  <c r="E143" i="2"/>
  <c r="C143" i="2"/>
  <c r="E142" i="2"/>
  <c r="C142" i="2"/>
  <c r="E141" i="2"/>
  <c r="C141" i="2"/>
  <c r="E140" i="2"/>
  <c r="C140" i="2"/>
  <c r="E139" i="2"/>
  <c r="C139" i="2"/>
  <c r="E138" i="2"/>
  <c r="C138" i="2"/>
  <c r="E137" i="2"/>
  <c r="C137" i="2"/>
  <c r="E136" i="2"/>
  <c r="C136" i="2"/>
  <c r="E135" i="2"/>
  <c r="C135" i="2"/>
  <c r="E134" i="2"/>
  <c r="C134" i="2"/>
  <c r="E133" i="2"/>
  <c r="C133" i="2"/>
  <c r="E132" i="2"/>
  <c r="C132" i="2"/>
  <c r="E131" i="2"/>
  <c r="C131" i="2"/>
  <c r="E130" i="2"/>
  <c r="C130" i="2"/>
  <c r="E129" i="2"/>
  <c r="C129" i="2"/>
  <c r="E128" i="2"/>
  <c r="C128" i="2"/>
  <c r="E127" i="2"/>
  <c r="C127" i="2"/>
  <c r="E126" i="2"/>
  <c r="C126" i="2"/>
  <c r="E125" i="2"/>
  <c r="C125" i="2"/>
  <c r="E124" i="2"/>
  <c r="C124" i="2"/>
  <c r="E123" i="2"/>
  <c r="C123" i="2"/>
  <c r="E122" i="2"/>
  <c r="C122" i="2"/>
  <c r="E121" i="2"/>
  <c r="C121" i="2"/>
  <c r="E120" i="2"/>
  <c r="C120" i="2"/>
  <c r="E119" i="2"/>
  <c r="C119" i="2"/>
  <c r="E118" i="2"/>
  <c r="C118" i="2"/>
  <c r="E117" i="2"/>
  <c r="C117" i="2"/>
  <c r="E116" i="2"/>
  <c r="C116" i="2"/>
  <c r="E115" i="2"/>
  <c r="C115" i="2"/>
  <c r="E114" i="2"/>
  <c r="C114" i="2"/>
  <c r="E113" i="2"/>
  <c r="C113" i="2"/>
  <c r="E112" i="2"/>
  <c r="C112" i="2"/>
  <c r="E111" i="2"/>
  <c r="C111" i="2"/>
  <c r="E110" i="2"/>
  <c r="C110" i="2"/>
  <c r="E109" i="2"/>
  <c r="C109" i="2"/>
  <c r="E108" i="2"/>
  <c r="C108" i="2"/>
  <c r="E107" i="2"/>
  <c r="C107" i="2"/>
  <c r="E106" i="2"/>
  <c r="C106" i="2"/>
  <c r="E105" i="2"/>
  <c r="C105" i="2"/>
  <c r="E104" i="2"/>
  <c r="C104" i="2"/>
  <c r="E103" i="2"/>
  <c r="C103" i="2"/>
  <c r="E102" i="2"/>
  <c r="C102" i="2"/>
  <c r="E101" i="2"/>
  <c r="C101" i="2"/>
  <c r="E100" i="2"/>
  <c r="C100" i="2"/>
  <c r="E99" i="2"/>
  <c r="C99" i="2"/>
  <c r="E98" i="2"/>
  <c r="C98" i="2"/>
  <c r="E97" i="2"/>
  <c r="C97" i="2"/>
  <c r="E96" i="2"/>
  <c r="C96" i="2"/>
  <c r="E95" i="2"/>
  <c r="C95" i="2"/>
  <c r="E94" i="2"/>
  <c r="C94" i="2"/>
  <c r="E93" i="2"/>
  <c r="C93" i="2"/>
  <c r="E92" i="2"/>
  <c r="C92" i="2"/>
  <c r="E91" i="2"/>
  <c r="C91" i="2"/>
  <c r="E90" i="2"/>
  <c r="C90" i="2"/>
  <c r="E89" i="2"/>
  <c r="C89" i="2"/>
  <c r="E88" i="2"/>
  <c r="C88" i="2"/>
  <c r="E87" i="2"/>
  <c r="C87" i="2"/>
  <c r="E86" i="2"/>
  <c r="C86" i="2"/>
  <c r="E85" i="2"/>
  <c r="C85" i="2"/>
  <c r="E84" i="2"/>
  <c r="C84" i="2"/>
  <c r="E83" i="2"/>
  <c r="C83" i="2"/>
  <c r="E82" i="2"/>
  <c r="C82" i="2"/>
  <c r="E81" i="2"/>
  <c r="C81" i="2"/>
  <c r="E80" i="2"/>
  <c r="C80" i="2"/>
  <c r="E79" i="2"/>
  <c r="C79" i="2"/>
  <c r="E78" i="2"/>
  <c r="C78" i="2"/>
  <c r="E77" i="2"/>
  <c r="C77" i="2"/>
  <c r="E76" i="2"/>
  <c r="C76" i="2"/>
  <c r="E75" i="2"/>
  <c r="C75" i="2"/>
  <c r="E74" i="2"/>
  <c r="C74" i="2"/>
  <c r="E73" i="2"/>
  <c r="C73" i="2"/>
  <c r="E72" i="2"/>
  <c r="C72" i="2"/>
  <c r="E71" i="2"/>
  <c r="C71" i="2"/>
  <c r="E70" i="2"/>
  <c r="C70" i="2"/>
  <c r="E69" i="2"/>
  <c r="C69" i="2"/>
  <c r="E68" i="2"/>
  <c r="C68" i="2"/>
  <c r="E67" i="2"/>
  <c r="C67" i="2"/>
  <c r="E66" i="2"/>
  <c r="C66" i="2"/>
  <c r="E65" i="2"/>
  <c r="C65" i="2"/>
  <c r="E64" i="2"/>
  <c r="C64" i="2"/>
  <c r="E63" i="2"/>
  <c r="C63" i="2"/>
  <c r="E62" i="2"/>
  <c r="C62" i="2"/>
  <c r="E61" i="2"/>
  <c r="C61" i="2"/>
  <c r="E60" i="2"/>
  <c r="C60" i="2"/>
  <c r="E59" i="2"/>
  <c r="C59" i="2"/>
  <c r="E58" i="2"/>
  <c r="C58" i="2"/>
  <c r="E57" i="2"/>
  <c r="C57" i="2"/>
  <c r="E56" i="2"/>
  <c r="C56" i="2"/>
  <c r="E55" i="2"/>
  <c r="C55" i="2"/>
  <c r="E54" i="2"/>
  <c r="C54" i="2"/>
  <c r="E53" i="2"/>
  <c r="C53" i="2"/>
  <c r="E52" i="2"/>
  <c r="C52" i="2"/>
  <c r="E51" i="2"/>
  <c r="C51" i="2"/>
  <c r="E50" i="2"/>
  <c r="C50" i="2"/>
  <c r="E49" i="2"/>
  <c r="C49" i="2"/>
  <c r="E48" i="2"/>
  <c r="C48" i="2"/>
  <c r="E47" i="2"/>
  <c r="C47" i="2"/>
  <c r="E46" i="2"/>
  <c r="C46" i="2"/>
  <c r="E45" i="2"/>
  <c r="C45" i="2"/>
  <c r="E44" i="2"/>
  <c r="C44" i="2"/>
  <c r="E43" i="2"/>
  <c r="C43" i="2"/>
  <c r="E42" i="2"/>
  <c r="C42" i="2"/>
  <c r="E41" i="2"/>
  <c r="C41" i="2"/>
  <c r="E40" i="2"/>
  <c r="C40" i="2"/>
  <c r="E39" i="2"/>
  <c r="C39" i="2"/>
  <c r="E38" i="2"/>
  <c r="C38" i="2"/>
  <c r="E37" i="2"/>
  <c r="C37" i="2"/>
  <c r="E36" i="2"/>
  <c r="C36" i="2"/>
  <c r="E35" i="2"/>
  <c r="C35" i="2"/>
  <c r="E34" i="2"/>
  <c r="C34" i="2"/>
  <c r="E33" i="2"/>
  <c r="C33" i="2"/>
  <c r="E32" i="2"/>
  <c r="C32" i="2"/>
  <c r="E31" i="2"/>
  <c r="C31" i="2"/>
  <c r="E30" i="2"/>
  <c r="C30" i="2"/>
  <c r="E29" i="2"/>
  <c r="C29" i="2"/>
  <c r="E28" i="2"/>
  <c r="C28" i="2"/>
  <c r="E27" i="2"/>
  <c r="C27" i="2"/>
  <c r="E26" i="2"/>
  <c r="C26" i="2"/>
  <c r="E25" i="2"/>
  <c r="C25" i="2"/>
  <c r="E24" i="2"/>
  <c r="C24" i="2"/>
  <c r="E23" i="2"/>
  <c r="C23" i="2"/>
  <c r="E22" i="2"/>
  <c r="C22" i="2"/>
  <c r="E21" i="2"/>
  <c r="C21" i="2"/>
  <c r="E20" i="2"/>
  <c r="C20" i="2"/>
  <c r="E19" i="2"/>
  <c r="C19" i="2"/>
  <c r="E18" i="2"/>
  <c r="C18" i="2"/>
  <c r="E17" i="2"/>
  <c r="C17" i="2"/>
  <c r="E16" i="2"/>
  <c r="C16" i="2"/>
  <c r="E15" i="2"/>
  <c r="C15" i="2"/>
  <c r="E14" i="2"/>
  <c r="C14" i="2"/>
  <c r="E13" i="2"/>
  <c r="C13" i="2"/>
  <c r="E12" i="2"/>
  <c r="C12" i="2"/>
  <c r="E11" i="2"/>
  <c r="C11" i="2"/>
  <c r="E10" i="2"/>
  <c r="C10" i="2"/>
  <c r="E9" i="2"/>
  <c r="C9" i="2"/>
  <c r="E8" i="2"/>
  <c r="C8" i="2"/>
  <c r="E7" i="2"/>
  <c r="C7" i="2"/>
  <c r="E6" i="2"/>
  <c r="C6" i="2"/>
  <c r="E5" i="2"/>
  <c r="C5" i="2"/>
  <c r="E4" i="2"/>
  <c r="C4" i="2"/>
  <c r="M11" i="1"/>
  <c r="F18" i="3" s="1"/>
  <c r="M10" i="1"/>
  <c r="F17" i="3" s="1"/>
  <c r="M9" i="1"/>
  <c r="F16" i="3" s="1"/>
  <c r="M8" i="1"/>
  <c r="F15" i="3" s="1"/>
  <c r="M7" i="1"/>
  <c r="F14" i="3" s="1"/>
  <c r="M6" i="1"/>
  <c r="F13" i="3" s="1"/>
  <c r="M5" i="1"/>
  <c r="F12" i="3" s="1"/>
  <c r="M4" i="1"/>
  <c r="F11" i="3" s="1"/>
  <c r="D18" i="3" l="1"/>
  <c r="C18" i="3"/>
  <c r="E18" i="3" s="1"/>
  <c r="D17" i="3"/>
  <c r="C17" i="3"/>
  <c r="E17" i="3" s="1"/>
  <c r="D16" i="3"/>
  <c r="C16" i="3"/>
  <c r="E16" i="3" s="1"/>
  <c r="D15" i="3"/>
  <c r="C15" i="3"/>
  <c r="E15" i="3" s="1"/>
  <c r="D14" i="3"/>
  <c r="C14" i="3"/>
  <c r="E14" i="3" s="1"/>
  <c r="D13" i="3"/>
  <c r="C13" i="3"/>
  <c r="E13" i="3" s="1"/>
  <c r="D12" i="3"/>
  <c r="C12" i="3"/>
  <c r="E12" i="3" s="1"/>
  <c r="D11" i="3"/>
  <c r="C11" i="3"/>
  <c r="E11" i="3" s="1"/>
  <c r="B7" i="3"/>
  <c r="F7" i="3" s="1"/>
  <c r="F4" i="3"/>
</calcChain>
</file>

<file path=xl/sharedStrings.xml><?xml version="1.0" encoding="utf-8"?>
<sst xmlns="http://schemas.openxmlformats.org/spreadsheetml/2006/main" count="145" uniqueCount="110">
  <si>
    <t>CIBERPROTECCIÓN PARA PyMES  ·  Capítulo 14 — Disposición Final</t>
  </si>
  <si>
    <t>Indicadores Clave de Riesgo (KRI) — Disposición Final</t>
  </si>
  <si>
    <t>ID</t>
  </si>
  <si>
    <t>Indicador</t>
  </si>
  <si>
    <t>Umbral de alerta</t>
  </si>
  <si>
    <t>Condición</t>
  </si>
  <si>
    <t>Límite</t>
  </si>
  <si>
    <t>Unidad</t>
  </si>
  <si>
    <t>Frecuencia</t>
  </si>
  <si>
    <t>Fuente de datos</t>
  </si>
  <si>
    <t>Acción esperada</t>
  </si>
  <si>
    <t>Responsable</t>
  </si>
  <si>
    <t>Última revisión</t>
  </si>
  <si>
    <t>Valor medido</t>
  </si>
  <si>
    <t>Estado</t>
  </si>
  <si>
    <t>Observaciones</t>
  </si>
  <si>
    <t>KRI-DIS-01</t>
  </si>
  <si>
    <t>Dispositivos retirados sin registro formal</t>
  </si>
  <si>
    <t>≥ 1 discrepancia entre el inventario de activos, el registro de dispositivos pendientes de baja y el inventario físico de la bodega</t>
  </si>
  <si>
    <t>≥</t>
  </si>
  <si>
    <t>discrepancias</t>
  </si>
  <si>
    <t>Mensual</t>
  </si>
  <si>
    <t>Inventario de activos · Plantilla 14.3 · Inventario físico de bodega</t>
  </si>
  <si>
    <t>Localizar el dispositivo, registrarlo y asignarle una clasificación de sensibilidad; si no puede localizarse, escalar a la Función de Respuesta</t>
  </si>
  <si>
    <t>KRI-DIS-02</t>
  </si>
  <si>
    <t>Dispositivos en espera de disposición por tiempo excesivo</t>
  </si>
  <si>
    <t>≥ 1 dispositivo de sensibilidad alta con más de 30 días sin proceso iniciado (90 días para sensibilidad media o baja)</t>
  </si>
  <si>
    <t>dispositivos</t>
  </si>
  <si>
    <t>Plantilla 14.3 (fecha de retiro y estado del proceso)</t>
  </si>
  <si>
    <t>Programar la disposición; verificar las condiciones de almacenamiento y el control de acceso a la bodega</t>
  </si>
  <si>
    <t>KRI-DIS-03</t>
  </si>
  <si>
    <t>Disposiciones sin certificado</t>
  </si>
  <si>
    <t>≥ 1 dispositivo con disposición ejecutada y sin certificado de borrado o destrucción después de 15 días</t>
  </si>
  <si>
    <t>Plantilla 14.3 · Certificados internos y de proveedores</t>
  </si>
  <si>
    <t>Solicitar el certificado al responsable de ejecución o al proveedor; no cerrar el expediente hasta recibirlo</t>
  </si>
  <si>
    <t>KRI-DIS-04</t>
  </si>
  <si>
    <t>Certificados no verificables o con discrepancias</t>
  </si>
  <si>
    <t>≥ 1 certificado cuyo número de serie no coincide con el inventario o cuyo emisor no puede validarse</t>
  </si>
  <si>
    <t>certificados</t>
  </si>
  <si>
    <t>Certificados de borrado o destrucción · Inventario de activos · Plantilla 14.2</t>
  </si>
  <si>
    <t>Suspender las entregas al proveedor; verificar el estado real del dispositivo y escalar a la Función de Respuesta</t>
  </si>
  <si>
    <t>KRI-DIS-05</t>
  </si>
  <si>
    <t>Dispositivos dados de baja con actividad en la red</t>
  </si>
  <si>
    <t>≥ 1 dispositivo registrado como dado de baja que aparece conectado a la red o activo en las consolas de gestión</t>
  </si>
  <si>
    <t>Semanal</t>
  </si>
  <si>
    <t>Directorio corporativo · Consolas UEM/MDM · NMS cap. 1</t>
  </si>
  <si>
    <t>Bloquear el dispositivo en el directorio y en la red; revisar la desvinculación y escalar a la Función de Respuesta</t>
  </si>
  <si>
    <t>KRI-DIS-06</t>
  </si>
  <si>
    <t>Entregas a proveedores no acreditados</t>
  </si>
  <si>
    <t>≥ 1 dispositivo entregado a un proveedor sin acreditación vigente</t>
  </si>
  <si>
    <t>Actas de entrega y cadena de custodia · Plantilla 14.2</t>
  </si>
  <si>
    <t>Recuperar el dispositivo o exigir evidencia de su estado; actualizar el listado de proveedores autorizados</t>
  </si>
  <si>
    <t>KRI-DIS-07</t>
  </si>
  <si>
    <t>Desvinculaciones incompletas</t>
  </si>
  <si>
    <t>≥ 1 dispositivo procesado sin la lista de revocación de accesos completa</t>
  </si>
  <si>
    <t>Checklist de revocación de accesos (Plantilla 14.5)</t>
  </si>
  <si>
    <t>Completar la revocación pendiente (directorio, certificados, MFA y tokens) y documentarla antes de continuar el proceso</t>
  </si>
  <si>
    <t>KRI-DIS-08</t>
  </si>
  <si>
    <t>Días desde la última auditoría cruzada del inventario</t>
  </si>
  <si>
    <t>&gt; 90 días sin auditoría completa</t>
  </si>
  <si>
    <t>días</t>
  </si>
  <si>
    <t>Trimestral</t>
  </si>
  <si>
    <t>Sistema ITSM · Registro de auditorías</t>
  </si>
  <si>
    <t>Programar y ejecutar la auditoría; documentar los hallazgos y las correcciones aplicadas</t>
  </si>
  <si>
    <t>Nota: los límites son referencias orientativas para PyMEs de tamaño medio; ajústelos en las columnas Condición y Límite según la línea base de su organización. Las celdas con texto azul son de captura; la columna Estado se calcula automáticamente.</t>
  </si>
  <si>
    <t>Historial de mediciones de KRI — revisión semanal y mensual</t>
  </si>
  <si>
    <t>Fecha de revisión</t>
  </si>
  <si>
    <t>Acción tomada</t>
  </si>
  <si>
    <t>N.° de ticket</t>
  </si>
  <si>
    <t>Dashboard — Estado de los Indicadores Clave de Riesgo</t>
  </si>
  <si>
    <t>Total KRI</t>
  </si>
  <si>
    <t>En rango</t>
  </si>
  <si>
    <t>Alerta</t>
  </si>
  <si>
    <t>Sin medir</t>
  </si>
  <si>
    <t>% en alerta</t>
  </si>
  <si>
    <t>SEMANAL</t>
  </si>
  <si>
    <t>MENSUAL</t>
  </si>
  <si>
    <t>TRIMESTRAL</t>
  </si>
  <si>
    <t>TOTAL GENERAL</t>
  </si>
  <si>
    <t>Historial acumulado por indicador (hoja Historial)</t>
  </si>
  <si>
    <t>Mediciones</t>
  </si>
  <si>
    <t>Alertas</t>
  </si>
  <si>
    <t>Última medición</t>
  </si>
  <si>
    <t>Estado actual</t>
  </si>
  <si>
    <t>Nota: registre el valor de cada indicador en la hoja KRI (estado actual) y en la hoja Historial (seguimiento de tendencia). Este dashboard se actualiza automáticamente.</t>
  </si>
  <si>
    <t>Instructivo de uso</t>
  </si>
  <si>
    <t>Campo</t>
  </si>
  <si>
    <t>Descripción</t>
  </si>
  <si>
    <t>Objetivo</t>
  </si>
  <si>
    <t>Registrar y monitorizar los Indicadores Clave de Riesgo (KRI) de la disposición final de activos tecnológicos definidos en la Función de Identificación del Capítulo 14, con el fin de detectar desviaciones del proceso antes de que se conviertan en una exposición de información.</t>
  </si>
  <si>
    <t>Hoja KRI</t>
  </si>
  <si>
    <t>Contiene la definición de los 8 indicadores y su estado actual. Cada revisión actualiza las columnas Responsable, Última revisión, Valor medido y Observaciones.</t>
  </si>
  <si>
    <t>Hoja Historial</t>
  </si>
  <si>
    <t>Registro cronológico de cada medición. Permite identificar tendencias a lo largo del tiempo, que es el propósito central de un KRI. Seleccione el ID en la lista desplegable; el nombre del indicador y el estado se completan automáticamente.</t>
  </si>
  <si>
    <t>Hoja Dashboard</t>
  </si>
  <si>
    <t>Resume el estado actual de los indicadores por frecuencia de revisión y el historial acumulado de mediciones y alertas por indicador. No requiere edición.</t>
  </si>
  <si>
    <t>Identificador único del indicador (KRI-DIS-01 a KRI-DIS-08).</t>
  </si>
  <si>
    <t>Descripción del valor a partir del cual el indicador exige la intervención del equipo de TI.</t>
  </si>
  <si>
    <t>Condición / Límite</t>
  </si>
  <si>
    <t>Expresión numérica del umbral, utilizada para calcular el estado. «≥» genera alerta cuando el valor medido es mayor o igual al límite; «≤» genera alerta cuando es menor o igual. Ajuste el límite según la línea base de su organización.</t>
  </si>
  <si>
    <t>Unidad en que debe registrarse el valor medido. Para todos los indicadores, salvo KRI-DIS-08, registre el número de casos encontrados en la revisión. Para KRI-DIS-08 registre los días transcurridos desde la última auditoría cruzada completa.</t>
  </si>
  <si>
    <t>Periodicidad de revisión: semanal para el indicador de actividad en la red (KRI-DIS-05); mensual para los de inventario, certificación, proveedores y desvinculación (KRI-DIS-01 a 04, 06 y 07); trimestral para el de auditoría (KRI-DIS-08). Integre las revisiones en el Calendario NSOC.</t>
  </si>
  <si>
    <t>Herramientas o registros de los que se obtiene el valor del indicador.</t>
  </si>
  <si>
    <t>Respuesta que debe ejecutarse cuando el indicador está en estado Alerta. Registre la acción efectivamente tomada y el número de ticket en la hoja Historial.</t>
  </si>
  <si>
    <t>Resultado numérico de la medición. Las celdas con texto azul son de captura.</t>
  </si>
  <si>
    <t>Cálculo automático: «En rango» (valor dentro del umbral), «Alerta» (umbral superado) o «Sin medir» (sin valor registrado).</t>
  </si>
  <si>
    <t>Umbrales diferenciados</t>
  </si>
  <si>
    <t>KRI-DIS-02 aplica plazos distintos según la sensibilidad del dispositivo (30 días para sensibilidad alta; 90 días para media o baja). Cuente como caso todo dispositivo que supere el plazo de su categoría, según la clasificación registrada en la Plantilla 14.3.</t>
  </si>
  <si>
    <t>Evidencia</t>
  </si>
  <si>
    <t>Cada revisión debe quedar registrada en el sistema de tickets (ITSM) como tarea programada cerrada, con referencia en la columna N.° de ticket de la hoja Historial.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</si>
</sst>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5" x14ac:knownFonts="1">
    <font>
      <sz val="11"/>
      <color theme="1"/>
      <name val="Calibri"/>
      <family val="2"/>
      <charset val="1"/>
    </font>
    <font>
      <b/>
      <sz val="13"/>
      <color rgb="FFFFFFFF"/>
      <name val="Calibri"/>
      <charset val="1"/>
    </font>
    <font>
      <b/>
      <sz val="11"/>
      <color rgb="FFFFFFFF"/>
      <name val="Calibri"/>
      <charset val="1"/>
    </font>
    <font>
      <b/>
      <sz val="10"/>
      <color rgb="FFFFFFFF"/>
      <name val="Calibri"/>
      <charset val="1"/>
    </font>
    <font>
      <b/>
      <sz val="9"/>
      <color rgb="FFFFFFFF"/>
      <name val="Calibri"/>
      <charset val="1"/>
    </font>
    <font>
      <sz val="10"/>
      <color rgb="FF000000"/>
      <name val="Calibri"/>
      <charset val="1"/>
    </font>
    <font>
      <sz val="10"/>
      <color rgb="FF0000FF"/>
      <name val="Calibri"/>
      <charset val="1"/>
    </font>
    <font>
      <sz val="9"/>
      <color rgb="FF777777"/>
      <name val="Calibri"/>
      <charset val="1"/>
    </font>
    <font>
      <b/>
      <sz val="10"/>
      <color rgb="FF000000"/>
      <name val="Calibri"/>
      <charset val="1"/>
    </font>
    <font>
      <sz val="10"/>
      <color rgb="FF3B6D11"/>
      <name val="Calibri"/>
      <charset val="1"/>
    </font>
    <font>
      <sz val="10"/>
      <color rgb="FFA32D2D"/>
      <name val="Calibri"/>
      <charset val="1"/>
    </font>
    <font>
      <sz val="10"/>
      <color rgb="FF777777"/>
      <name val="Calibri"/>
      <charset val="1"/>
    </font>
    <font>
      <sz val="9"/>
      <color rgb="FF000000"/>
      <name val="Calibri"/>
      <charset val="1"/>
    </font>
    <font>
      <b/>
      <sz val="10"/>
      <color rgb="FFA32D2D"/>
      <name val="Calibri"/>
      <charset val="1"/>
    </font>
    <font>
      <b/>
      <sz val="10"/>
      <color rgb="FF0F3F6E"/>
      <name val="Calibri"/>
      <charset val="1"/>
    </font>
  </fonts>
  <fills count="10">
    <fill>
      <patternFill patternType="none"/>
    </fill>
    <fill>
      <patternFill patternType="gray125"/>
    </fill>
    <fill>
      <patternFill patternType="solid">
        <fgColor rgb="FF0F3F6E"/>
        <bgColor rgb="FF333399"/>
      </patternFill>
    </fill>
    <fill>
      <patternFill patternType="solid">
        <fgColor rgb="FF185FA5"/>
        <bgColor rgb="FF2E6DA4"/>
      </patternFill>
    </fill>
    <fill>
      <patternFill patternType="solid">
        <fgColor rgb="FFFFFFFF"/>
        <bgColor rgb="FFF5F5F2"/>
      </patternFill>
    </fill>
    <fill>
      <patternFill patternType="solid">
        <fgColor rgb="FFBA7517"/>
        <bgColor rgb="FFFF6600"/>
      </patternFill>
    </fill>
    <fill>
      <patternFill patternType="solid">
        <fgColor rgb="FFF5F5F2"/>
        <bgColor rgb="FFFFFFFF"/>
      </patternFill>
    </fill>
    <fill>
      <patternFill patternType="solid">
        <fgColor rgb="FF2E6DA4"/>
        <bgColor rgb="FF185FA5"/>
      </patternFill>
    </fill>
    <fill>
      <patternFill patternType="solid">
        <fgColor rgb="FF3B6D11"/>
        <bgColor rgb="FF339966"/>
      </patternFill>
    </fill>
    <fill>
      <patternFill patternType="solid">
        <fgColor rgb="FFB5D4F4"/>
        <bgColor rgb="FF99CCFF"/>
      </patternFill>
    </fill>
  </fills>
  <borders count="2">
    <border>
      <left/>
      <right/>
      <top/>
      <bottom/>
      <diagonal/>
    </border>
    <border>
      <left style="thin">
        <color rgb="FFD3D1C7"/>
      </left>
      <right style="thin">
        <color rgb="FFD3D1C7"/>
      </right>
      <top style="thin">
        <color rgb="FFD3D1C7"/>
      </top>
      <bottom style="thin">
        <color rgb="FFD3D1C7"/>
      </bottom>
      <diagonal/>
    </border>
  </borders>
  <cellStyleXfs count="1">
    <xf numFmtId="0" fontId="0" fillId="0" borderId="0"/>
  </cellStyleXfs>
  <cellXfs count="43">
    <xf numFmtId="0" fontId="0" fillId="0" borderId="0" xfId="0"/>
    <xf numFmtId="0" fontId="7" fillId="0" borderId="0" xfId="0" applyFont="1" applyAlignment="1">
      <alignment horizontal="left" vertical="center" wrapText="1"/>
    </xf>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0" fontId="6" fillId="4"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0" fontId="6" fillId="6"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9" fontId="5" fillId="6"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9" fontId="5" fillId="4" borderId="1" xfId="0" applyNumberFormat="1"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9" fontId="8" fillId="9" borderId="1" xfId="0" applyNumberFormat="1" applyFont="1" applyFill="1" applyBorder="1" applyAlignment="1">
      <alignment horizontal="center" vertical="center" wrapText="1"/>
    </xf>
    <xf numFmtId="0" fontId="12" fillId="4" borderId="1" xfId="0" applyFont="1" applyFill="1" applyBorder="1" applyAlignment="1">
      <alignment horizontal="left" vertical="center" wrapText="1"/>
    </xf>
    <xf numFmtId="0" fontId="13" fillId="4" borderId="1"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0" fontId="12" fillId="6" borderId="1" xfId="0" applyFont="1" applyFill="1" applyBorder="1" applyAlignment="1">
      <alignment horizontal="left" vertical="center" wrapText="1"/>
    </xf>
    <xf numFmtId="0" fontId="13" fillId="6" borderId="1" xfId="0" applyFont="1" applyFill="1" applyBorder="1" applyAlignment="1">
      <alignment horizontal="center" vertical="center" wrapText="1"/>
    </xf>
    <xf numFmtId="164" fontId="5" fillId="6" borderId="1" xfId="0" applyNumberFormat="1" applyFont="1" applyFill="1" applyBorder="1" applyAlignment="1">
      <alignment horizontal="center" vertical="center" wrapText="1"/>
    </xf>
    <xf numFmtId="0" fontId="14" fillId="4" borderId="1" xfId="0" applyFont="1" applyFill="1" applyBorder="1" applyAlignment="1">
      <alignment horizontal="left" vertical="center" wrapText="1"/>
    </xf>
    <xf numFmtId="0" fontId="14" fillId="6" borderId="1" xfId="0" applyFont="1" applyFill="1" applyBorder="1" applyAlignment="1">
      <alignment horizontal="left" vertical="center" wrapText="1"/>
    </xf>
  </cellXfs>
  <cellStyles count="1">
    <cellStyle name="Normal" xfId="0" builtinId="0"/>
  </cellStyles>
  <dxfs count="7">
    <dxf>
      <font>
        <b/>
        <color rgb="FF3B6D11"/>
      </font>
      <fill>
        <patternFill>
          <bgColor rgb="FFDCEBD0"/>
        </patternFill>
      </fill>
    </dxf>
    <dxf>
      <font>
        <b/>
        <color rgb="FFA32D2D"/>
      </font>
      <fill>
        <patternFill>
          <bgColor rgb="FFF4D6D6"/>
        </patternFill>
      </fill>
    </dxf>
    <dxf>
      <font>
        <b/>
        <color rgb="FF3B6D11"/>
      </font>
      <fill>
        <patternFill>
          <bgColor rgb="FFDCEBD0"/>
        </patternFill>
      </fill>
    </dxf>
    <dxf>
      <font>
        <b/>
        <color rgb="FFA32D2D"/>
      </font>
      <fill>
        <patternFill>
          <bgColor rgb="FFF4D6D6"/>
        </patternFill>
      </fill>
    </dxf>
    <dxf>
      <font>
        <i/>
        <color rgb="FF777777"/>
      </font>
    </dxf>
    <dxf>
      <font>
        <b/>
        <color rgb="FF3B6D11"/>
      </font>
      <fill>
        <patternFill>
          <bgColor rgb="FFDCEBD0"/>
        </patternFill>
      </fill>
    </dxf>
    <dxf>
      <font>
        <b/>
        <color rgb="FFA32D2D"/>
      </font>
      <fill>
        <patternFill>
          <bgColor rgb="FFF4D6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3B6D11"/>
      <rgbColor rgb="FF000080"/>
      <rgbColor rgb="FFBA7517"/>
      <rgbColor rgb="FF800080"/>
      <rgbColor rgb="FF008080"/>
      <rgbColor rgb="FFD3D1C7"/>
      <rgbColor rgb="FF777777"/>
      <rgbColor rgb="FF9999FF"/>
      <rgbColor rgb="FF993366"/>
      <rgbColor rgb="FFF5F5F2"/>
      <rgbColor rgb="FFCCFFFF"/>
      <rgbColor rgb="FF660066"/>
      <rgbColor rgb="FFFF8080"/>
      <rgbColor rgb="FF185FA5"/>
      <rgbColor rgb="FFB5D4F4"/>
      <rgbColor rgb="FF000080"/>
      <rgbColor rgb="FFFF00FF"/>
      <rgbColor rgb="FFFFFF00"/>
      <rgbColor rgb="FF00FFFF"/>
      <rgbColor rgb="FF800080"/>
      <rgbColor rgb="FF800000"/>
      <rgbColor rgb="FF008080"/>
      <rgbColor rgb="FF0000FF"/>
      <rgbColor rgb="FF00CCFF"/>
      <rgbColor rgb="FFCCFFFF"/>
      <rgbColor rgb="FFDCEBD0"/>
      <rgbColor rgb="FFFFFF99"/>
      <rgbColor rgb="FF99CCFF"/>
      <rgbColor rgb="FFFF99CC"/>
      <rgbColor rgb="FFCC99FF"/>
      <rgbColor rgb="FFF4D6D6"/>
      <rgbColor rgb="FF2E6DA4"/>
      <rgbColor rgb="FF33CCCC"/>
      <rgbColor rgb="FF99CC00"/>
      <rgbColor rgb="FFFFCC00"/>
      <rgbColor rgb="FFFF9900"/>
      <rgbColor rgb="FFFF6600"/>
      <rgbColor rgb="FF666699"/>
      <rgbColor rgb="FF969696"/>
      <rgbColor rgb="FF0F3F6E"/>
      <rgbColor rgb="FF339966"/>
      <rgbColor rgb="FF003300"/>
      <rgbColor rgb="FF333300"/>
      <rgbColor rgb="FFA32D2D"/>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13"/>
  <sheetViews>
    <sheetView tabSelected="1" zoomScaleNormal="100" workbookViewId="0">
      <pane xSplit="2" ySplit="3" topLeftCell="C4" activePane="bottomRight" state="frozen"/>
      <selection pane="topRight" activeCell="C1" sqref="C1"/>
      <selection pane="bottomLeft" activeCell="A4" sqref="A4"/>
      <selection pane="bottomRight" sqref="A1:N1"/>
    </sheetView>
  </sheetViews>
  <sheetFormatPr baseColWidth="10" defaultColWidth="8.7109375" defaultRowHeight="15" x14ac:dyDescent="0.25"/>
  <cols>
    <col min="1" max="1" width="12" customWidth="1"/>
    <col min="2" max="2" width="30" customWidth="1"/>
    <col min="3" max="3" width="38" customWidth="1"/>
    <col min="4" max="4" width="10" customWidth="1"/>
    <col min="5" max="5" width="8" customWidth="1"/>
    <col min="6" max="6" width="12" customWidth="1"/>
    <col min="7" max="7" width="11" customWidth="1"/>
    <col min="8" max="8" width="30" customWidth="1"/>
    <col min="9" max="9" width="46" customWidth="1"/>
    <col min="10" max="10" width="18" customWidth="1"/>
    <col min="11" max="11" width="13" customWidth="1"/>
    <col min="12" max="12" width="11" customWidth="1"/>
    <col min="13" max="13" width="12" customWidth="1"/>
    <col min="14" max="14" width="32" customWidth="1"/>
  </cols>
  <sheetData>
    <row r="1" spans="1:14" ht="27.75" customHeight="1" x14ac:dyDescent="0.25">
      <c r="A1" s="3" t="s">
        <v>0</v>
      </c>
      <c r="B1" s="3"/>
      <c r="C1" s="3"/>
      <c r="D1" s="3"/>
      <c r="E1" s="3"/>
      <c r="F1" s="3"/>
      <c r="G1" s="3"/>
      <c r="H1" s="3"/>
      <c r="I1" s="3"/>
      <c r="J1" s="3"/>
      <c r="K1" s="3"/>
      <c r="L1" s="3"/>
      <c r="M1" s="3"/>
      <c r="N1" s="3"/>
    </row>
    <row r="2" spans="1:14" ht="21.75" customHeight="1" x14ac:dyDescent="0.25">
      <c r="A2" s="2" t="s">
        <v>1</v>
      </c>
      <c r="B2" s="2"/>
      <c r="C2" s="2"/>
      <c r="D2" s="2"/>
      <c r="E2" s="2"/>
      <c r="F2" s="2"/>
      <c r="G2" s="2"/>
      <c r="H2" s="2"/>
      <c r="I2" s="2"/>
      <c r="J2" s="2"/>
      <c r="K2" s="2"/>
      <c r="L2" s="2"/>
      <c r="M2" s="2"/>
      <c r="N2" s="2"/>
    </row>
    <row r="3" spans="1:14" ht="30" customHeight="1" x14ac:dyDescent="0.25">
      <c r="A3" s="4" t="s">
        <v>2</v>
      </c>
      <c r="B3" s="4" t="s">
        <v>3</v>
      </c>
      <c r="C3" s="4" t="s">
        <v>4</v>
      </c>
      <c r="D3" s="4" t="s">
        <v>5</v>
      </c>
      <c r="E3" s="4" t="s">
        <v>6</v>
      </c>
      <c r="F3" s="4" t="s">
        <v>7</v>
      </c>
      <c r="G3" s="4" t="s">
        <v>8</v>
      </c>
      <c r="H3" s="4" t="s">
        <v>9</v>
      </c>
      <c r="I3" s="4" t="s">
        <v>10</v>
      </c>
      <c r="J3" s="4" t="s">
        <v>11</v>
      </c>
      <c r="K3" s="4" t="s">
        <v>12</v>
      </c>
      <c r="L3" s="4" t="s">
        <v>13</v>
      </c>
      <c r="M3" s="4" t="s">
        <v>14</v>
      </c>
      <c r="N3" s="4" t="s">
        <v>15</v>
      </c>
    </row>
    <row r="4" spans="1:14" ht="57.75" customHeight="1" x14ac:dyDescent="0.25">
      <c r="A4" s="5" t="s">
        <v>16</v>
      </c>
      <c r="B4" s="6" t="s">
        <v>17</v>
      </c>
      <c r="C4" s="6" t="s">
        <v>18</v>
      </c>
      <c r="D4" s="7" t="s">
        <v>19</v>
      </c>
      <c r="E4" s="7">
        <v>1</v>
      </c>
      <c r="F4" s="7" t="s">
        <v>20</v>
      </c>
      <c r="G4" s="8" t="s">
        <v>21</v>
      </c>
      <c r="H4" s="6" t="s">
        <v>22</v>
      </c>
      <c r="I4" s="6" t="s">
        <v>23</v>
      </c>
      <c r="J4" s="9"/>
      <c r="K4" s="10"/>
      <c r="L4" s="9"/>
      <c r="M4" s="7" t="str">
        <f t="shared" ref="M4:M11" si="0">IF(L4="","Sin medir",IF(OR(AND(D4="≥",L4&gt;=E4),AND(D4="≤",L4&lt;=E4)),"Alerta","En rango"))</f>
        <v>Sin medir</v>
      </c>
      <c r="N4" s="11"/>
    </row>
    <row r="5" spans="1:14" ht="57.75" customHeight="1" x14ac:dyDescent="0.25">
      <c r="A5" s="5" t="s">
        <v>24</v>
      </c>
      <c r="B5" s="12" t="s">
        <v>25</v>
      </c>
      <c r="C5" s="12" t="s">
        <v>26</v>
      </c>
      <c r="D5" s="13" t="s">
        <v>19</v>
      </c>
      <c r="E5" s="13">
        <v>1</v>
      </c>
      <c r="F5" s="13" t="s">
        <v>27</v>
      </c>
      <c r="G5" s="8" t="s">
        <v>21</v>
      </c>
      <c r="H5" s="12" t="s">
        <v>28</v>
      </c>
      <c r="I5" s="12" t="s">
        <v>29</v>
      </c>
      <c r="J5" s="14"/>
      <c r="K5" s="15"/>
      <c r="L5" s="14"/>
      <c r="M5" s="13" t="str">
        <f t="shared" si="0"/>
        <v>Sin medir</v>
      </c>
      <c r="N5" s="16"/>
    </row>
    <row r="6" spans="1:14" ht="57.75" customHeight="1" x14ac:dyDescent="0.25">
      <c r="A6" s="5" t="s">
        <v>30</v>
      </c>
      <c r="B6" s="6" t="s">
        <v>31</v>
      </c>
      <c r="C6" s="6" t="s">
        <v>32</v>
      </c>
      <c r="D6" s="7" t="s">
        <v>19</v>
      </c>
      <c r="E6" s="7">
        <v>1</v>
      </c>
      <c r="F6" s="7" t="s">
        <v>27</v>
      </c>
      <c r="G6" s="8" t="s">
        <v>21</v>
      </c>
      <c r="H6" s="6" t="s">
        <v>33</v>
      </c>
      <c r="I6" s="6" t="s">
        <v>34</v>
      </c>
      <c r="J6" s="9"/>
      <c r="K6" s="10"/>
      <c r="L6" s="9"/>
      <c r="M6" s="7" t="str">
        <f t="shared" si="0"/>
        <v>Sin medir</v>
      </c>
      <c r="N6" s="11"/>
    </row>
    <row r="7" spans="1:14" ht="57.75" customHeight="1" x14ac:dyDescent="0.25">
      <c r="A7" s="5" t="s">
        <v>35</v>
      </c>
      <c r="B7" s="12" t="s">
        <v>36</v>
      </c>
      <c r="C7" s="12" t="s">
        <v>37</v>
      </c>
      <c r="D7" s="13" t="s">
        <v>19</v>
      </c>
      <c r="E7" s="13">
        <v>1</v>
      </c>
      <c r="F7" s="13" t="s">
        <v>38</v>
      </c>
      <c r="G7" s="8" t="s">
        <v>21</v>
      </c>
      <c r="H7" s="12" t="s">
        <v>39</v>
      </c>
      <c r="I7" s="12" t="s">
        <v>40</v>
      </c>
      <c r="J7" s="14"/>
      <c r="K7" s="15"/>
      <c r="L7" s="14"/>
      <c r="M7" s="13" t="str">
        <f t="shared" si="0"/>
        <v>Sin medir</v>
      </c>
      <c r="N7" s="16"/>
    </row>
    <row r="8" spans="1:14" ht="57.75" customHeight="1" x14ac:dyDescent="0.25">
      <c r="A8" s="5" t="s">
        <v>41</v>
      </c>
      <c r="B8" s="6" t="s">
        <v>42</v>
      </c>
      <c r="C8" s="6" t="s">
        <v>43</v>
      </c>
      <c r="D8" s="7" t="s">
        <v>19</v>
      </c>
      <c r="E8" s="7">
        <v>1</v>
      </c>
      <c r="F8" s="7" t="s">
        <v>27</v>
      </c>
      <c r="G8" s="17" t="s">
        <v>44</v>
      </c>
      <c r="H8" s="6" t="s">
        <v>45</v>
      </c>
      <c r="I8" s="6" t="s">
        <v>46</v>
      </c>
      <c r="J8" s="9"/>
      <c r="K8" s="10"/>
      <c r="L8" s="9"/>
      <c r="M8" s="7" t="str">
        <f t="shared" si="0"/>
        <v>Sin medir</v>
      </c>
      <c r="N8" s="11"/>
    </row>
    <row r="9" spans="1:14" ht="57.75" customHeight="1" x14ac:dyDescent="0.25">
      <c r="A9" s="5" t="s">
        <v>47</v>
      </c>
      <c r="B9" s="12" t="s">
        <v>48</v>
      </c>
      <c r="C9" s="12" t="s">
        <v>49</v>
      </c>
      <c r="D9" s="13" t="s">
        <v>19</v>
      </c>
      <c r="E9" s="13">
        <v>1</v>
      </c>
      <c r="F9" s="13" t="s">
        <v>27</v>
      </c>
      <c r="G9" s="8" t="s">
        <v>21</v>
      </c>
      <c r="H9" s="12" t="s">
        <v>50</v>
      </c>
      <c r="I9" s="12" t="s">
        <v>51</v>
      </c>
      <c r="J9" s="14"/>
      <c r="K9" s="15"/>
      <c r="L9" s="14"/>
      <c r="M9" s="13" t="str">
        <f t="shared" si="0"/>
        <v>Sin medir</v>
      </c>
      <c r="N9" s="16"/>
    </row>
    <row r="10" spans="1:14" ht="57.75" customHeight="1" x14ac:dyDescent="0.25">
      <c r="A10" s="5" t="s">
        <v>52</v>
      </c>
      <c r="B10" s="6" t="s">
        <v>53</v>
      </c>
      <c r="C10" s="6" t="s">
        <v>54</v>
      </c>
      <c r="D10" s="7" t="s">
        <v>19</v>
      </c>
      <c r="E10" s="7">
        <v>1</v>
      </c>
      <c r="F10" s="7" t="s">
        <v>27</v>
      </c>
      <c r="G10" s="8" t="s">
        <v>21</v>
      </c>
      <c r="H10" s="6" t="s">
        <v>55</v>
      </c>
      <c r="I10" s="6" t="s">
        <v>56</v>
      </c>
      <c r="J10" s="9"/>
      <c r="K10" s="10"/>
      <c r="L10" s="9"/>
      <c r="M10" s="7" t="str">
        <f t="shared" si="0"/>
        <v>Sin medir</v>
      </c>
      <c r="N10" s="11"/>
    </row>
    <row r="11" spans="1:14" ht="57.75" customHeight="1" x14ac:dyDescent="0.25">
      <c r="A11" s="5" t="s">
        <v>57</v>
      </c>
      <c r="B11" s="12" t="s">
        <v>58</v>
      </c>
      <c r="C11" s="12" t="s">
        <v>59</v>
      </c>
      <c r="D11" s="13" t="s">
        <v>19</v>
      </c>
      <c r="E11" s="13">
        <v>91</v>
      </c>
      <c r="F11" s="13" t="s">
        <v>60</v>
      </c>
      <c r="G11" s="18" t="s">
        <v>61</v>
      </c>
      <c r="H11" s="12" t="s">
        <v>62</v>
      </c>
      <c r="I11" s="12" t="s">
        <v>63</v>
      </c>
      <c r="J11" s="14"/>
      <c r="K11" s="15"/>
      <c r="L11" s="14"/>
      <c r="M11" s="13" t="str">
        <f t="shared" si="0"/>
        <v>Sin medir</v>
      </c>
      <c r="N11" s="16"/>
    </row>
    <row r="13" spans="1:14" ht="30" customHeight="1" x14ac:dyDescent="0.25">
      <c r="A13" s="1" t="s">
        <v>64</v>
      </c>
      <c r="B13" s="1"/>
      <c r="C13" s="1"/>
      <c r="D13" s="1"/>
      <c r="E13" s="1"/>
      <c r="F13" s="1"/>
      <c r="G13" s="1"/>
      <c r="H13" s="1"/>
      <c r="I13" s="1"/>
      <c r="J13" s="1"/>
      <c r="K13" s="1"/>
      <c r="L13" s="1"/>
      <c r="M13" s="1"/>
      <c r="N13" s="1"/>
    </row>
  </sheetData>
  <mergeCells count="3">
    <mergeCell ref="A1:N1"/>
    <mergeCell ref="A2:N2"/>
    <mergeCell ref="A13:N13"/>
  </mergeCells>
  <conditionalFormatting sqref="M4:M11">
    <cfRule type="expression" dxfId="6" priority="2">
      <formula>M4="Alerta"</formula>
    </cfRule>
    <cfRule type="expression" dxfId="5" priority="3">
      <formula>M4="En rango"</formula>
    </cfRule>
    <cfRule type="expression" dxfId="4" priority="4">
      <formula>M4="Sin medir"</formula>
    </cfRule>
  </conditionalFormatting>
  <dataValidations count="3">
    <dataValidation type="date" operator="greaterThan" allowBlank="1" error="Ingrese una fecha válida (DD/MM/AAAA)." sqref="K4:K11" xr:uid="{00000000-0002-0000-0000-000000000000}">
      <formula1>36526</formula1>
      <formula2>0</formula2>
    </dataValidation>
    <dataValidation type="decimal" operator="greaterThanOrEqual" allowBlank="1" error="Ingrese un valor numérico mayor o igual a cero." sqref="L4:L11" xr:uid="{00000000-0002-0000-0000-000001000000}">
      <formula1>0</formula1>
      <formula2>0</formula2>
    </dataValidation>
    <dataValidation type="list" sqref="D4:D11" xr:uid="{00000000-0002-0000-0000-000002000000}">
      <formula1>"≥,≤"</formula1>
      <formula2>0</formula2>
    </dataValidation>
  </dataValidation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153"/>
  <sheetViews>
    <sheetView zoomScaleNormal="100" workbookViewId="0">
      <pane ySplit="3" topLeftCell="A4" activePane="bottomLeft" state="frozen"/>
      <selection pane="bottomLeft"/>
    </sheetView>
  </sheetViews>
  <sheetFormatPr baseColWidth="10" defaultColWidth="8.7109375" defaultRowHeight="15" x14ac:dyDescent="0.25"/>
  <cols>
    <col min="1" max="1" width="14" customWidth="1"/>
    <col min="2" max="2" width="13" customWidth="1"/>
    <col min="3" max="3" width="40" customWidth="1"/>
    <col min="4" max="5" width="12" customWidth="1"/>
    <col min="6" max="6" width="46" customWidth="1"/>
    <col min="7" max="7" width="18" customWidth="1"/>
    <col min="8" max="8" width="14" customWidth="1"/>
  </cols>
  <sheetData>
    <row r="1" spans="1:8" ht="27.75" customHeight="1" x14ac:dyDescent="0.25">
      <c r="A1" s="3" t="s">
        <v>0</v>
      </c>
      <c r="B1" s="3"/>
      <c r="C1" s="3"/>
      <c r="D1" s="3"/>
      <c r="E1" s="3"/>
      <c r="F1" s="3"/>
      <c r="G1" s="3"/>
      <c r="H1" s="3"/>
    </row>
    <row r="2" spans="1:8" ht="21.75" customHeight="1" x14ac:dyDescent="0.25">
      <c r="A2" s="2" t="s">
        <v>65</v>
      </c>
      <c r="B2" s="2"/>
      <c r="C2" s="2"/>
      <c r="D2" s="2"/>
      <c r="E2" s="2"/>
      <c r="F2" s="2"/>
      <c r="G2" s="2"/>
      <c r="H2" s="2"/>
    </row>
    <row r="3" spans="1:8" ht="30" customHeight="1" x14ac:dyDescent="0.25">
      <c r="A3" s="4" t="s">
        <v>66</v>
      </c>
      <c r="B3" s="4" t="s">
        <v>2</v>
      </c>
      <c r="C3" s="4" t="s">
        <v>3</v>
      </c>
      <c r="D3" s="4" t="s">
        <v>13</v>
      </c>
      <c r="E3" s="4" t="s">
        <v>14</v>
      </c>
      <c r="F3" s="4" t="s">
        <v>67</v>
      </c>
      <c r="G3" s="4" t="s">
        <v>11</v>
      </c>
      <c r="H3" s="4" t="s">
        <v>68</v>
      </c>
    </row>
    <row r="4" spans="1:8" ht="19.5" customHeight="1" x14ac:dyDescent="0.25">
      <c r="A4" s="10"/>
      <c r="B4" s="9"/>
      <c r="C4" s="6" t="str">
        <f>IF(B4="","",INDEX(KRI!$B$4:$B$11,MATCH(B4,KRI!$A$4:$A$11,0)))</f>
        <v/>
      </c>
      <c r="D4" s="9"/>
      <c r="E4" s="7" t="str">
        <f>IF(OR(B4="",D4=""),"",IF(OR(AND(INDEX(KRI!$D$4:$D$11,MATCH(B4,KRI!$A$4:$A$11,0))="≥",D4&gt;=INDEX(KRI!$E$4:$E$11,MATCH(B4,KRI!$A$4:$A$11,0))),AND(INDEX(KRI!$D$4:$D$11,MATCH(B4,KRI!$A$4:$A$11,0))="≤",D4&lt;=INDEX(KRI!$E$4:$E$11,MATCH(B4,KRI!$A$4:$A$11,0)))),"Alerta","En rango"))</f>
        <v/>
      </c>
      <c r="F4" s="11"/>
      <c r="G4" s="11"/>
      <c r="H4" s="9"/>
    </row>
    <row r="5" spans="1:8" ht="19.5" customHeight="1" x14ac:dyDescent="0.25">
      <c r="A5" s="15"/>
      <c r="B5" s="14"/>
      <c r="C5" s="12" t="str">
        <f>IF(B5="","",INDEX(KRI!$B$4:$B$11,MATCH(B5,KRI!$A$4:$A$11,0)))</f>
        <v/>
      </c>
      <c r="D5" s="14"/>
      <c r="E5" s="13" t="str">
        <f>IF(OR(B5="",D5=""),"",IF(OR(AND(INDEX(KRI!$D$4:$D$11,MATCH(B5,KRI!$A$4:$A$11,0))="≥",D5&gt;=INDEX(KRI!$E$4:$E$11,MATCH(B5,KRI!$A$4:$A$11,0))),AND(INDEX(KRI!$D$4:$D$11,MATCH(B5,KRI!$A$4:$A$11,0))="≤",D5&lt;=INDEX(KRI!$E$4:$E$11,MATCH(B5,KRI!$A$4:$A$11,0)))),"Alerta","En rango"))</f>
        <v/>
      </c>
      <c r="F5" s="16"/>
      <c r="G5" s="16"/>
      <c r="H5" s="14"/>
    </row>
    <row r="6" spans="1:8" ht="19.5" customHeight="1" x14ac:dyDescent="0.25">
      <c r="A6" s="10"/>
      <c r="B6" s="9"/>
      <c r="C6" s="6" t="str">
        <f>IF(B6="","",INDEX(KRI!$B$4:$B$11,MATCH(B6,KRI!$A$4:$A$11,0)))</f>
        <v/>
      </c>
      <c r="D6" s="9"/>
      <c r="E6" s="7" t="str">
        <f>IF(OR(B6="",D6=""),"",IF(OR(AND(INDEX(KRI!$D$4:$D$11,MATCH(B6,KRI!$A$4:$A$11,0))="≥",D6&gt;=INDEX(KRI!$E$4:$E$11,MATCH(B6,KRI!$A$4:$A$11,0))),AND(INDEX(KRI!$D$4:$D$11,MATCH(B6,KRI!$A$4:$A$11,0))="≤",D6&lt;=INDEX(KRI!$E$4:$E$11,MATCH(B6,KRI!$A$4:$A$11,0)))),"Alerta","En rango"))</f>
        <v/>
      </c>
      <c r="F6" s="11"/>
      <c r="G6" s="11"/>
      <c r="H6" s="9"/>
    </row>
    <row r="7" spans="1:8" ht="19.5" customHeight="1" x14ac:dyDescent="0.25">
      <c r="A7" s="15"/>
      <c r="B7" s="14"/>
      <c r="C7" s="12" t="str">
        <f>IF(B7="","",INDEX(KRI!$B$4:$B$11,MATCH(B7,KRI!$A$4:$A$11,0)))</f>
        <v/>
      </c>
      <c r="D7" s="14"/>
      <c r="E7" s="13" t="str">
        <f>IF(OR(B7="",D7=""),"",IF(OR(AND(INDEX(KRI!$D$4:$D$11,MATCH(B7,KRI!$A$4:$A$11,0))="≥",D7&gt;=INDEX(KRI!$E$4:$E$11,MATCH(B7,KRI!$A$4:$A$11,0))),AND(INDEX(KRI!$D$4:$D$11,MATCH(B7,KRI!$A$4:$A$11,0))="≤",D7&lt;=INDEX(KRI!$E$4:$E$11,MATCH(B7,KRI!$A$4:$A$11,0)))),"Alerta","En rango"))</f>
        <v/>
      </c>
      <c r="F7" s="16"/>
      <c r="G7" s="16"/>
      <c r="H7" s="14"/>
    </row>
    <row r="8" spans="1:8" ht="19.5" customHeight="1" x14ac:dyDescent="0.25">
      <c r="A8" s="10"/>
      <c r="B8" s="9"/>
      <c r="C8" s="6" t="str">
        <f>IF(B8="","",INDEX(KRI!$B$4:$B$11,MATCH(B8,KRI!$A$4:$A$11,0)))</f>
        <v/>
      </c>
      <c r="D8" s="9"/>
      <c r="E8" s="7" t="str">
        <f>IF(OR(B8="",D8=""),"",IF(OR(AND(INDEX(KRI!$D$4:$D$11,MATCH(B8,KRI!$A$4:$A$11,0))="≥",D8&gt;=INDEX(KRI!$E$4:$E$11,MATCH(B8,KRI!$A$4:$A$11,0))),AND(INDEX(KRI!$D$4:$D$11,MATCH(B8,KRI!$A$4:$A$11,0))="≤",D8&lt;=INDEX(KRI!$E$4:$E$11,MATCH(B8,KRI!$A$4:$A$11,0)))),"Alerta","En rango"))</f>
        <v/>
      </c>
      <c r="F8" s="11"/>
      <c r="G8" s="11"/>
      <c r="H8" s="9"/>
    </row>
    <row r="9" spans="1:8" ht="19.5" customHeight="1" x14ac:dyDescent="0.25">
      <c r="A9" s="15"/>
      <c r="B9" s="14"/>
      <c r="C9" s="12" t="str">
        <f>IF(B9="","",INDEX(KRI!$B$4:$B$11,MATCH(B9,KRI!$A$4:$A$11,0)))</f>
        <v/>
      </c>
      <c r="D9" s="14"/>
      <c r="E9" s="13" t="str">
        <f>IF(OR(B9="",D9=""),"",IF(OR(AND(INDEX(KRI!$D$4:$D$11,MATCH(B9,KRI!$A$4:$A$11,0))="≥",D9&gt;=INDEX(KRI!$E$4:$E$11,MATCH(B9,KRI!$A$4:$A$11,0))),AND(INDEX(KRI!$D$4:$D$11,MATCH(B9,KRI!$A$4:$A$11,0))="≤",D9&lt;=INDEX(KRI!$E$4:$E$11,MATCH(B9,KRI!$A$4:$A$11,0)))),"Alerta","En rango"))</f>
        <v/>
      </c>
      <c r="F9" s="16"/>
      <c r="G9" s="16"/>
      <c r="H9" s="14"/>
    </row>
    <row r="10" spans="1:8" ht="19.5" customHeight="1" x14ac:dyDescent="0.25">
      <c r="A10" s="10"/>
      <c r="B10" s="9"/>
      <c r="C10" s="6" t="str">
        <f>IF(B10="","",INDEX(KRI!$B$4:$B$11,MATCH(B10,KRI!$A$4:$A$11,0)))</f>
        <v/>
      </c>
      <c r="D10" s="9"/>
      <c r="E10" s="7" t="str">
        <f>IF(OR(B10="",D10=""),"",IF(OR(AND(INDEX(KRI!$D$4:$D$11,MATCH(B10,KRI!$A$4:$A$11,0))="≥",D10&gt;=INDEX(KRI!$E$4:$E$11,MATCH(B10,KRI!$A$4:$A$11,0))),AND(INDEX(KRI!$D$4:$D$11,MATCH(B10,KRI!$A$4:$A$11,0))="≤",D10&lt;=INDEX(KRI!$E$4:$E$11,MATCH(B10,KRI!$A$4:$A$11,0)))),"Alerta","En rango"))</f>
        <v/>
      </c>
      <c r="F10" s="11"/>
      <c r="G10" s="11"/>
      <c r="H10" s="9"/>
    </row>
    <row r="11" spans="1:8" ht="19.5" customHeight="1" x14ac:dyDescent="0.25">
      <c r="A11" s="15"/>
      <c r="B11" s="14"/>
      <c r="C11" s="12" t="str">
        <f>IF(B11="","",INDEX(KRI!$B$4:$B$11,MATCH(B11,KRI!$A$4:$A$11,0)))</f>
        <v/>
      </c>
      <c r="D11" s="14"/>
      <c r="E11" s="13" t="str">
        <f>IF(OR(B11="",D11=""),"",IF(OR(AND(INDEX(KRI!$D$4:$D$11,MATCH(B11,KRI!$A$4:$A$11,0))="≥",D11&gt;=INDEX(KRI!$E$4:$E$11,MATCH(B11,KRI!$A$4:$A$11,0))),AND(INDEX(KRI!$D$4:$D$11,MATCH(B11,KRI!$A$4:$A$11,0))="≤",D11&lt;=INDEX(KRI!$E$4:$E$11,MATCH(B11,KRI!$A$4:$A$11,0)))),"Alerta","En rango"))</f>
        <v/>
      </c>
      <c r="F11" s="16"/>
      <c r="G11" s="16"/>
      <c r="H11" s="14"/>
    </row>
    <row r="12" spans="1:8" ht="19.5" customHeight="1" x14ac:dyDescent="0.25">
      <c r="A12" s="10"/>
      <c r="B12" s="9"/>
      <c r="C12" s="6" t="str">
        <f>IF(B12="","",INDEX(KRI!$B$4:$B$11,MATCH(B12,KRI!$A$4:$A$11,0)))</f>
        <v/>
      </c>
      <c r="D12" s="9"/>
      <c r="E12" s="7" t="str">
        <f>IF(OR(B12="",D12=""),"",IF(OR(AND(INDEX(KRI!$D$4:$D$11,MATCH(B12,KRI!$A$4:$A$11,0))="≥",D12&gt;=INDEX(KRI!$E$4:$E$11,MATCH(B12,KRI!$A$4:$A$11,0))),AND(INDEX(KRI!$D$4:$D$11,MATCH(B12,KRI!$A$4:$A$11,0))="≤",D12&lt;=INDEX(KRI!$E$4:$E$11,MATCH(B12,KRI!$A$4:$A$11,0)))),"Alerta","En rango"))</f>
        <v/>
      </c>
      <c r="F12" s="11"/>
      <c r="G12" s="11"/>
      <c r="H12" s="9"/>
    </row>
    <row r="13" spans="1:8" ht="19.5" customHeight="1" x14ac:dyDescent="0.25">
      <c r="A13" s="15"/>
      <c r="B13" s="14"/>
      <c r="C13" s="12" t="str">
        <f>IF(B13="","",INDEX(KRI!$B$4:$B$11,MATCH(B13,KRI!$A$4:$A$11,0)))</f>
        <v/>
      </c>
      <c r="D13" s="14"/>
      <c r="E13" s="13" t="str">
        <f>IF(OR(B13="",D13=""),"",IF(OR(AND(INDEX(KRI!$D$4:$D$11,MATCH(B13,KRI!$A$4:$A$11,0))="≥",D13&gt;=INDEX(KRI!$E$4:$E$11,MATCH(B13,KRI!$A$4:$A$11,0))),AND(INDEX(KRI!$D$4:$D$11,MATCH(B13,KRI!$A$4:$A$11,0))="≤",D13&lt;=INDEX(KRI!$E$4:$E$11,MATCH(B13,KRI!$A$4:$A$11,0)))),"Alerta","En rango"))</f>
        <v/>
      </c>
      <c r="F13" s="16"/>
      <c r="G13" s="16"/>
      <c r="H13" s="14"/>
    </row>
    <row r="14" spans="1:8" ht="19.5" customHeight="1" x14ac:dyDescent="0.25">
      <c r="A14" s="10"/>
      <c r="B14" s="9"/>
      <c r="C14" s="6" t="str">
        <f>IF(B14="","",INDEX(KRI!$B$4:$B$11,MATCH(B14,KRI!$A$4:$A$11,0)))</f>
        <v/>
      </c>
      <c r="D14" s="9"/>
      <c r="E14" s="7" t="str">
        <f>IF(OR(B14="",D14=""),"",IF(OR(AND(INDEX(KRI!$D$4:$D$11,MATCH(B14,KRI!$A$4:$A$11,0))="≥",D14&gt;=INDEX(KRI!$E$4:$E$11,MATCH(B14,KRI!$A$4:$A$11,0))),AND(INDEX(KRI!$D$4:$D$11,MATCH(B14,KRI!$A$4:$A$11,0))="≤",D14&lt;=INDEX(KRI!$E$4:$E$11,MATCH(B14,KRI!$A$4:$A$11,0)))),"Alerta","En rango"))</f>
        <v/>
      </c>
      <c r="F14" s="11"/>
      <c r="G14" s="11"/>
      <c r="H14" s="9"/>
    </row>
    <row r="15" spans="1:8" ht="19.5" customHeight="1" x14ac:dyDescent="0.25">
      <c r="A15" s="15"/>
      <c r="B15" s="14"/>
      <c r="C15" s="12" t="str">
        <f>IF(B15="","",INDEX(KRI!$B$4:$B$11,MATCH(B15,KRI!$A$4:$A$11,0)))</f>
        <v/>
      </c>
      <c r="D15" s="14"/>
      <c r="E15" s="13" t="str">
        <f>IF(OR(B15="",D15=""),"",IF(OR(AND(INDEX(KRI!$D$4:$D$11,MATCH(B15,KRI!$A$4:$A$11,0))="≥",D15&gt;=INDEX(KRI!$E$4:$E$11,MATCH(B15,KRI!$A$4:$A$11,0))),AND(INDEX(KRI!$D$4:$D$11,MATCH(B15,KRI!$A$4:$A$11,0))="≤",D15&lt;=INDEX(KRI!$E$4:$E$11,MATCH(B15,KRI!$A$4:$A$11,0)))),"Alerta","En rango"))</f>
        <v/>
      </c>
      <c r="F15" s="16"/>
      <c r="G15" s="16"/>
      <c r="H15" s="14"/>
    </row>
    <row r="16" spans="1:8" ht="19.5" customHeight="1" x14ac:dyDescent="0.25">
      <c r="A16" s="10"/>
      <c r="B16" s="9"/>
      <c r="C16" s="6" t="str">
        <f>IF(B16="","",INDEX(KRI!$B$4:$B$11,MATCH(B16,KRI!$A$4:$A$11,0)))</f>
        <v/>
      </c>
      <c r="D16" s="9"/>
      <c r="E16" s="7" t="str">
        <f>IF(OR(B16="",D16=""),"",IF(OR(AND(INDEX(KRI!$D$4:$D$11,MATCH(B16,KRI!$A$4:$A$11,0))="≥",D16&gt;=INDEX(KRI!$E$4:$E$11,MATCH(B16,KRI!$A$4:$A$11,0))),AND(INDEX(KRI!$D$4:$D$11,MATCH(B16,KRI!$A$4:$A$11,0))="≤",D16&lt;=INDEX(KRI!$E$4:$E$11,MATCH(B16,KRI!$A$4:$A$11,0)))),"Alerta","En rango"))</f>
        <v/>
      </c>
      <c r="F16" s="11"/>
      <c r="G16" s="11"/>
      <c r="H16" s="9"/>
    </row>
    <row r="17" spans="1:8" ht="19.5" customHeight="1" x14ac:dyDescent="0.25">
      <c r="A17" s="15"/>
      <c r="B17" s="14"/>
      <c r="C17" s="12" t="str">
        <f>IF(B17="","",INDEX(KRI!$B$4:$B$11,MATCH(B17,KRI!$A$4:$A$11,0)))</f>
        <v/>
      </c>
      <c r="D17" s="14"/>
      <c r="E17" s="13" t="str">
        <f>IF(OR(B17="",D17=""),"",IF(OR(AND(INDEX(KRI!$D$4:$D$11,MATCH(B17,KRI!$A$4:$A$11,0))="≥",D17&gt;=INDEX(KRI!$E$4:$E$11,MATCH(B17,KRI!$A$4:$A$11,0))),AND(INDEX(KRI!$D$4:$D$11,MATCH(B17,KRI!$A$4:$A$11,0))="≤",D17&lt;=INDEX(KRI!$E$4:$E$11,MATCH(B17,KRI!$A$4:$A$11,0)))),"Alerta","En rango"))</f>
        <v/>
      </c>
      <c r="F17" s="16"/>
      <c r="G17" s="16"/>
      <c r="H17" s="14"/>
    </row>
    <row r="18" spans="1:8" ht="19.5" customHeight="1" x14ac:dyDescent="0.25">
      <c r="A18" s="10"/>
      <c r="B18" s="9"/>
      <c r="C18" s="6" t="str">
        <f>IF(B18="","",INDEX(KRI!$B$4:$B$11,MATCH(B18,KRI!$A$4:$A$11,0)))</f>
        <v/>
      </c>
      <c r="D18" s="9"/>
      <c r="E18" s="7" t="str">
        <f>IF(OR(B18="",D18=""),"",IF(OR(AND(INDEX(KRI!$D$4:$D$11,MATCH(B18,KRI!$A$4:$A$11,0))="≥",D18&gt;=INDEX(KRI!$E$4:$E$11,MATCH(B18,KRI!$A$4:$A$11,0))),AND(INDEX(KRI!$D$4:$D$11,MATCH(B18,KRI!$A$4:$A$11,0))="≤",D18&lt;=INDEX(KRI!$E$4:$E$11,MATCH(B18,KRI!$A$4:$A$11,0)))),"Alerta","En rango"))</f>
        <v/>
      </c>
      <c r="F18" s="11"/>
      <c r="G18" s="11"/>
      <c r="H18" s="9"/>
    </row>
    <row r="19" spans="1:8" ht="19.5" customHeight="1" x14ac:dyDescent="0.25">
      <c r="A19" s="15"/>
      <c r="B19" s="14"/>
      <c r="C19" s="12" t="str">
        <f>IF(B19="","",INDEX(KRI!$B$4:$B$11,MATCH(B19,KRI!$A$4:$A$11,0)))</f>
        <v/>
      </c>
      <c r="D19" s="14"/>
      <c r="E19" s="13" t="str">
        <f>IF(OR(B19="",D19=""),"",IF(OR(AND(INDEX(KRI!$D$4:$D$11,MATCH(B19,KRI!$A$4:$A$11,0))="≥",D19&gt;=INDEX(KRI!$E$4:$E$11,MATCH(B19,KRI!$A$4:$A$11,0))),AND(INDEX(KRI!$D$4:$D$11,MATCH(B19,KRI!$A$4:$A$11,0))="≤",D19&lt;=INDEX(KRI!$E$4:$E$11,MATCH(B19,KRI!$A$4:$A$11,0)))),"Alerta","En rango"))</f>
        <v/>
      </c>
      <c r="F19" s="16"/>
      <c r="G19" s="16"/>
      <c r="H19" s="14"/>
    </row>
    <row r="20" spans="1:8" ht="19.5" customHeight="1" x14ac:dyDescent="0.25">
      <c r="A20" s="10"/>
      <c r="B20" s="9"/>
      <c r="C20" s="6" t="str">
        <f>IF(B20="","",INDEX(KRI!$B$4:$B$11,MATCH(B20,KRI!$A$4:$A$11,0)))</f>
        <v/>
      </c>
      <c r="D20" s="9"/>
      <c r="E20" s="7" t="str">
        <f>IF(OR(B20="",D20=""),"",IF(OR(AND(INDEX(KRI!$D$4:$D$11,MATCH(B20,KRI!$A$4:$A$11,0))="≥",D20&gt;=INDEX(KRI!$E$4:$E$11,MATCH(B20,KRI!$A$4:$A$11,0))),AND(INDEX(KRI!$D$4:$D$11,MATCH(B20,KRI!$A$4:$A$11,0))="≤",D20&lt;=INDEX(KRI!$E$4:$E$11,MATCH(B20,KRI!$A$4:$A$11,0)))),"Alerta","En rango"))</f>
        <v/>
      </c>
      <c r="F20" s="11"/>
      <c r="G20" s="11"/>
      <c r="H20" s="9"/>
    </row>
    <row r="21" spans="1:8" ht="19.5" customHeight="1" x14ac:dyDescent="0.25">
      <c r="A21" s="15"/>
      <c r="B21" s="14"/>
      <c r="C21" s="12" t="str">
        <f>IF(B21="","",INDEX(KRI!$B$4:$B$11,MATCH(B21,KRI!$A$4:$A$11,0)))</f>
        <v/>
      </c>
      <c r="D21" s="14"/>
      <c r="E21" s="13" t="str">
        <f>IF(OR(B21="",D21=""),"",IF(OR(AND(INDEX(KRI!$D$4:$D$11,MATCH(B21,KRI!$A$4:$A$11,0))="≥",D21&gt;=INDEX(KRI!$E$4:$E$11,MATCH(B21,KRI!$A$4:$A$11,0))),AND(INDEX(KRI!$D$4:$D$11,MATCH(B21,KRI!$A$4:$A$11,0))="≤",D21&lt;=INDEX(KRI!$E$4:$E$11,MATCH(B21,KRI!$A$4:$A$11,0)))),"Alerta","En rango"))</f>
        <v/>
      </c>
      <c r="F21" s="16"/>
      <c r="G21" s="16"/>
      <c r="H21" s="14"/>
    </row>
    <row r="22" spans="1:8" ht="19.5" customHeight="1" x14ac:dyDescent="0.25">
      <c r="A22" s="10"/>
      <c r="B22" s="9"/>
      <c r="C22" s="6" t="str">
        <f>IF(B22="","",INDEX(KRI!$B$4:$B$11,MATCH(B22,KRI!$A$4:$A$11,0)))</f>
        <v/>
      </c>
      <c r="D22" s="9"/>
      <c r="E22" s="7" t="str">
        <f>IF(OR(B22="",D22=""),"",IF(OR(AND(INDEX(KRI!$D$4:$D$11,MATCH(B22,KRI!$A$4:$A$11,0))="≥",D22&gt;=INDEX(KRI!$E$4:$E$11,MATCH(B22,KRI!$A$4:$A$11,0))),AND(INDEX(KRI!$D$4:$D$11,MATCH(B22,KRI!$A$4:$A$11,0))="≤",D22&lt;=INDEX(KRI!$E$4:$E$11,MATCH(B22,KRI!$A$4:$A$11,0)))),"Alerta","En rango"))</f>
        <v/>
      </c>
      <c r="F22" s="11"/>
      <c r="G22" s="11"/>
      <c r="H22" s="9"/>
    </row>
    <row r="23" spans="1:8" ht="19.5" customHeight="1" x14ac:dyDescent="0.25">
      <c r="A23" s="15"/>
      <c r="B23" s="14"/>
      <c r="C23" s="12" t="str">
        <f>IF(B23="","",INDEX(KRI!$B$4:$B$11,MATCH(B23,KRI!$A$4:$A$11,0)))</f>
        <v/>
      </c>
      <c r="D23" s="14"/>
      <c r="E23" s="13" t="str">
        <f>IF(OR(B23="",D23=""),"",IF(OR(AND(INDEX(KRI!$D$4:$D$11,MATCH(B23,KRI!$A$4:$A$11,0))="≥",D23&gt;=INDEX(KRI!$E$4:$E$11,MATCH(B23,KRI!$A$4:$A$11,0))),AND(INDEX(KRI!$D$4:$D$11,MATCH(B23,KRI!$A$4:$A$11,0))="≤",D23&lt;=INDEX(KRI!$E$4:$E$11,MATCH(B23,KRI!$A$4:$A$11,0)))),"Alerta","En rango"))</f>
        <v/>
      </c>
      <c r="F23" s="16"/>
      <c r="G23" s="16"/>
      <c r="H23" s="14"/>
    </row>
    <row r="24" spans="1:8" ht="19.5" customHeight="1" x14ac:dyDescent="0.25">
      <c r="A24" s="10"/>
      <c r="B24" s="9"/>
      <c r="C24" s="6" t="str">
        <f>IF(B24="","",INDEX(KRI!$B$4:$B$11,MATCH(B24,KRI!$A$4:$A$11,0)))</f>
        <v/>
      </c>
      <c r="D24" s="9"/>
      <c r="E24" s="7" t="str">
        <f>IF(OR(B24="",D24=""),"",IF(OR(AND(INDEX(KRI!$D$4:$D$11,MATCH(B24,KRI!$A$4:$A$11,0))="≥",D24&gt;=INDEX(KRI!$E$4:$E$11,MATCH(B24,KRI!$A$4:$A$11,0))),AND(INDEX(KRI!$D$4:$D$11,MATCH(B24,KRI!$A$4:$A$11,0))="≤",D24&lt;=INDEX(KRI!$E$4:$E$11,MATCH(B24,KRI!$A$4:$A$11,0)))),"Alerta","En rango"))</f>
        <v/>
      </c>
      <c r="F24" s="11"/>
      <c r="G24" s="11"/>
      <c r="H24" s="9"/>
    </row>
    <row r="25" spans="1:8" ht="19.5" customHeight="1" x14ac:dyDescent="0.25">
      <c r="A25" s="15"/>
      <c r="B25" s="14"/>
      <c r="C25" s="12" t="str">
        <f>IF(B25="","",INDEX(KRI!$B$4:$B$11,MATCH(B25,KRI!$A$4:$A$11,0)))</f>
        <v/>
      </c>
      <c r="D25" s="14"/>
      <c r="E25" s="13" t="str">
        <f>IF(OR(B25="",D25=""),"",IF(OR(AND(INDEX(KRI!$D$4:$D$11,MATCH(B25,KRI!$A$4:$A$11,0))="≥",D25&gt;=INDEX(KRI!$E$4:$E$11,MATCH(B25,KRI!$A$4:$A$11,0))),AND(INDEX(KRI!$D$4:$D$11,MATCH(B25,KRI!$A$4:$A$11,0))="≤",D25&lt;=INDEX(KRI!$E$4:$E$11,MATCH(B25,KRI!$A$4:$A$11,0)))),"Alerta","En rango"))</f>
        <v/>
      </c>
      <c r="F25" s="16"/>
      <c r="G25" s="16"/>
      <c r="H25" s="14"/>
    </row>
    <row r="26" spans="1:8" ht="19.5" customHeight="1" x14ac:dyDescent="0.25">
      <c r="A26" s="10"/>
      <c r="B26" s="9"/>
      <c r="C26" s="6" t="str">
        <f>IF(B26="","",INDEX(KRI!$B$4:$B$11,MATCH(B26,KRI!$A$4:$A$11,0)))</f>
        <v/>
      </c>
      <c r="D26" s="9"/>
      <c r="E26" s="7" t="str">
        <f>IF(OR(B26="",D26=""),"",IF(OR(AND(INDEX(KRI!$D$4:$D$11,MATCH(B26,KRI!$A$4:$A$11,0))="≥",D26&gt;=INDEX(KRI!$E$4:$E$11,MATCH(B26,KRI!$A$4:$A$11,0))),AND(INDEX(KRI!$D$4:$D$11,MATCH(B26,KRI!$A$4:$A$11,0))="≤",D26&lt;=INDEX(KRI!$E$4:$E$11,MATCH(B26,KRI!$A$4:$A$11,0)))),"Alerta","En rango"))</f>
        <v/>
      </c>
      <c r="F26" s="11"/>
      <c r="G26" s="11"/>
      <c r="H26" s="9"/>
    </row>
    <row r="27" spans="1:8" ht="19.5" customHeight="1" x14ac:dyDescent="0.25">
      <c r="A27" s="15"/>
      <c r="B27" s="14"/>
      <c r="C27" s="12" t="str">
        <f>IF(B27="","",INDEX(KRI!$B$4:$B$11,MATCH(B27,KRI!$A$4:$A$11,0)))</f>
        <v/>
      </c>
      <c r="D27" s="14"/>
      <c r="E27" s="13" t="str">
        <f>IF(OR(B27="",D27=""),"",IF(OR(AND(INDEX(KRI!$D$4:$D$11,MATCH(B27,KRI!$A$4:$A$11,0))="≥",D27&gt;=INDEX(KRI!$E$4:$E$11,MATCH(B27,KRI!$A$4:$A$11,0))),AND(INDEX(KRI!$D$4:$D$11,MATCH(B27,KRI!$A$4:$A$11,0))="≤",D27&lt;=INDEX(KRI!$E$4:$E$11,MATCH(B27,KRI!$A$4:$A$11,0)))),"Alerta","En rango"))</f>
        <v/>
      </c>
      <c r="F27" s="16"/>
      <c r="G27" s="16"/>
      <c r="H27" s="14"/>
    </row>
    <row r="28" spans="1:8" ht="19.5" customHeight="1" x14ac:dyDescent="0.25">
      <c r="A28" s="10"/>
      <c r="B28" s="9"/>
      <c r="C28" s="6" t="str">
        <f>IF(B28="","",INDEX(KRI!$B$4:$B$11,MATCH(B28,KRI!$A$4:$A$11,0)))</f>
        <v/>
      </c>
      <c r="D28" s="9"/>
      <c r="E28" s="7" t="str">
        <f>IF(OR(B28="",D28=""),"",IF(OR(AND(INDEX(KRI!$D$4:$D$11,MATCH(B28,KRI!$A$4:$A$11,0))="≥",D28&gt;=INDEX(KRI!$E$4:$E$11,MATCH(B28,KRI!$A$4:$A$11,0))),AND(INDEX(KRI!$D$4:$D$11,MATCH(B28,KRI!$A$4:$A$11,0))="≤",D28&lt;=INDEX(KRI!$E$4:$E$11,MATCH(B28,KRI!$A$4:$A$11,0)))),"Alerta","En rango"))</f>
        <v/>
      </c>
      <c r="F28" s="11"/>
      <c r="G28" s="11"/>
      <c r="H28" s="9"/>
    </row>
    <row r="29" spans="1:8" ht="19.5" customHeight="1" x14ac:dyDescent="0.25">
      <c r="A29" s="15"/>
      <c r="B29" s="14"/>
      <c r="C29" s="12" t="str">
        <f>IF(B29="","",INDEX(KRI!$B$4:$B$11,MATCH(B29,KRI!$A$4:$A$11,0)))</f>
        <v/>
      </c>
      <c r="D29" s="14"/>
      <c r="E29" s="13" t="str">
        <f>IF(OR(B29="",D29=""),"",IF(OR(AND(INDEX(KRI!$D$4:$D$11,MATCH(B29,KRI!$A$4:$A$11,0))="≥",D29&gt;=INDEX(KRI!$E$4:$E$11,MATCH(B29,KRI!$A$4:$A$11,0))),AND(INDEX(KRI!$D$4:$D$11,MATCH(B29,KRI!$A$4:$A$11,0))="≤",D29&lt;=INDEX(KRI!$E$4:$E$11,MATCH(B29,KRI!$A$4:$A$11,0)))),"Alerta","En rango"))</f>
        <v/>
      </c>
      <c r="F29" s="16"/>
      <c r="G29" s="16"/>
      <c r="H29" s="14"/>
    </row>
    <row r="30" spans="1:8" ht="19.5" customHeight="1" x14ac:dyDescent="0.25">
      <c r="A30" s="10"/>
      <c r="B30" s="9"/>
      <c r="C30" s="6" t="str">
        <f>IF(B30="","",INDEX(KRI!$B$4:$B$11,MATCH(B30,KRI!$A$4:$A$11,0)))</f>
        <v/>
      </c>
      <c r="D30" s="9"/>
      <c r="E30" s="7" t="str">
        <f>IF(OR(B30="",D30=""),"",IF(OR(AND(INDEX(KRI!$D$4:$D$11,MATCH(B30,KRI!$A$4:$A$11,0))="≥",D30&gt;=INDEX(KRI!$E$4:$E$11,MATCH(B30,KRI!$A$4:$A$11,0))),AND(INDEX(KRI!$D$4:$D$11,MATCH(B30,KRI!$A$4:$A$11,0))="≤",D30&lt;=INDEX(KRI!$E$4:$E$11,MATCH(B30,KRI!$A$4:$A$11,0)))),"Alerta","En rango"))</f>
        <v/>
      </c>
      <c r="F30" s="11"/>
      <c r="G30" s="11"/>
      <c r="H30" s="9"/>
    </row>
    <row r="31" spans="1:8" ht="19.5" customHeight="1" x14ac:dyDescent="0.25">
      <c r="A31" s="15"/>
      <c r="B31" s="14"/>
      <c r="C31" s="12" t="str">
        <f>IF(B31="","",INDEX(KRI!$B$4:$B$11,MATCH(B31,KRI!$A$4:$A$11,0)))</f>
        <v/>
      </c>
      <c r="D31" s="14"/>
      <c r="E31" s="13" t="str">
        <f>IF(OR(B31="",D31=""),"",IF(OR(AND(INDEX(KRI!$D$4:$D$11,MATCH(B31,KRI!$A$4:$A$11,0))="≥",D31&gt;=INDEX(KRI!$E$4:$E$11,MATCH(B31,KRI!$A$4:$A$11,0))),AND(INDEX(KRI!$D$4:$D$11,MATCH(B31,KRI!$A$4:$A$11,0))="≤",D31&lt;=INDEX(KRI!$E$4:$E$11,MATCH(B31,KRI!$A$4:$A$11,0)))),"Alerta","En rango"))</f>
        <v/>
      </c>
      <c r="F31" s="16"/>
      <c r="G31" s="16"/>
      <c r="H31" s="14"/>
    </row>
    <row r="32" spans="1:8" ht="19.5" customHeight="1" x14ac:dyDescent="0.25">
      <c r="A32" s="10"/>
      <c r="B32" s="9"/>
      <c r="C32" s="6" t="str">
        <f>IF(B32="","",INDEX(KRI!$B$4:$B$11,MATCH(B32,KRI!$A$4:$A$11,0)))</f>
        <v/>
      </c>
      <c r="D32" s="9"/>
      <c r="E32" s="7" t="str">
        <f>IF(OR(B32="",D32=""),"",IF(OR(AND(INDEX(KRI!$D$4:$D$11,MATCH(B32,KRI!$A$4:$A$11,0))="≥",D32&gt;=INDEX(KRI!$E$4:$E$11,MATCH(B32,KRI!$A$4:$A$11,0))),AND(INDEX(KRI!$D$4:$D$11,MATCH(B32,KRI!$A$4:$A$11,0))="≤",D32&lt;=INDEX(KRI!$E$4:$E$11,MATCH(B32,KRI!$A$4:$A$11,0)))),"Alerta","En rango"))</f>
        <v/>
      </c>
      <c r="F32" s="11"/>
      <c r="G32" s="11"/>
      <c r="H32" s="9"/>
    </row>
    <row r="33" spans="1:8" ht="19.5" customHeight="1" x14ac:dyDescent="0.25">
      <c r="A33" s="15"/>
      <c r="B33" s="14"/>
      <c r="C33" s="12" t="str">
        <f>IF(B33="","",INDEX(KRI!$B$4:$B$11,MATCH(B33,KRI!$A$4:$A$11,0)))</f>
        <v/>
      </c>
      <c r="D33" s="14"/>
      <c r="E33" s="13" t="str">
        <f>IF(OR(B33="",D33=""),"",IF(OR(AND(INDEX(KRI!$D$4:$D$11,MATCH(B33,KRI!$A$4:$A$11,0))="≥",D33&gt;=INDEX(KRI!$E$4:$E$11,MATCH(B33,KRI!$A$4:$A$11,0))),AND(INDEX(KRI!$D$4:$D$11,MATCH(B33,KRI!$A$4:$A$11,0))="≤",D33&lt;=INDEX(KRI!$E$4:$E$11,MATCH(B33,KRI!$A$4:$A$11,0)))),"Alerta","En rango"))</f>
        <v/>
      </c>
      <c r="F33" s="16"/>
      <c r="G33" s="16"/>
      <c r="H33" s="14"/>
    </row>
    <row r="34" spans="1:8" ht="19.5" customHeight="1" x14ac:dyDescent="0.25">
      <c r="A34" s="10"/>
      <c r="B34" s="9"/>
      <c r="C34" s="6" t="str">
        <f>IF(B34="","",INDEX(KRI!$B$4:$B$11,MATCH(B34,KRI!$A$4:$A$11,0)))</f>
        <v/>
      </c>
      <c r="D34" s="9"/>
      <c r="E34" s="7" t="str">
        <f>IF(OR(B34="",D34=""),"",IF(OR(AND(INDEX(KRI!$D$4:$D$11,MATCH(B34,KRI!$A$4:$A$11,0))="≥",D34&gt;=INDEX(KRI!$E$4:$E$11,MATCH(B34,KRI!$A$4:$A$11,0))),AND(INDEX(KRI!$D$4:$D$11,MATCH(B34,KRI!$A$4:$A$11,0))="≤",D34&lt;=INDEX(KRI!$E$4:$E$11,MATCH(B34,KRI!$A$4:$A$11,0)))),"Alerta","En rango"))</f>
        <v/>
      </c>
      <c r="F34" s="11"/>
      <c r="G34" s="11"/>
      <c r="H34" s="9"/>
    </row>
    <row r="35" spans="1:8" ht="19.5" customHeight="1" x14ac:dyDescent="0.25">
      <c r="A35" s="15"/>
      <c r="B35" s="14"/>
      <c r="C35" s="12" t="str">
        <f>IF(B35="","",INDEX(KRI!$B$4:$B$11,MATCH(B35,KRI!$A$4:$A$11,0)))</f>
        <v/>
      </c>
      <c r="D35" s="14"/>
      <c r="E35" s="13" t="str">
        <f>IF(OR(B35="",D35=""),"",IF(OR(AND(INDEX(KRI!$D$4:$D$11,MATCH(B35,KRI!$A$4:$A$11,0))="≥",D35&gt;=INDEX(KRI!$E$4:$E$11,MATCH(B35,KRI!$A$4:$A$11,0))),AND(INDEX(KRI!$D$4:$D$11,MATCH(B35,KRI!$A$4:$A$11,0))="≤",D35&lt;=INDEX(KRI!$E$4:$E$11,MATCH(B35,KRI!$A$4:$A$11,0)))),"Alerta","En rango"))</f>
        <v/>
      </c>
      <c r="F35" s="16"/>
      <c r="G35" s="16"/>
      <c r="H35" s="14"/>
    </row>
    <row r="36" spans="1:8" ht="19.5" customHeight="1" x14ac:dyDescent="0.25">
      <c r="A36" s="10"/>
      <c r="B36" s="9"/>
      <c r="C36" s="6" t="str">
        <f>IF(B36="","",INDEX(KRI!$B$4:$B$11,MATCH(B36,KRI!$A$4:$A$11,0)))</f>
        <v/>
      </c>
      <c r="D36" s="9"/>
      <c r="E36" s="7" t="str">
        <f>IF(OR(B36="",D36=""),"",IF(OR(AND(INDEX(KRI!$D$4:$D$11,MATCH(B36,KRI!$A$4:$A$11,0))="≥",D36&gt;=INDEX(KRI!$E$4:$E$11,MATCH(B36,KRI!$A$4:$A$11,0))),AND(INDEX(KRI!$D$4:$D$11,MATCH(B36,KRI!$A$4:$A$11,0))="≤",D36&lt;=INDEX(KRI!$E$4:$E$11,MATCH(B36,KRI!$A$4:$A$11,0)))),"Alerta","En rango"))</f>
        <v/>
      </c>
      <c r="F36" s="11"/>
      <c r="G36" s="11"/>
      <c r="H36" s="9"/>
    </row>
    <row r="37" spans="1:8" ht="19.5" customHeight="1" x14ac:dyDescent="0.25">
      <c r="A37" s="15"/>
      <c r="B37" s="14"/>
      <c r="C37" s="12" t="str">
        <f>IF(B37="","",INDEX(KRI!$B$4:$B$11,MATCH(B37,KRI!$A$4:$A$11,0)))</f>
        <v/>
      </c>
      <c r="D37" s="14"/>
      <c r="E37" s="13" t="str">
        <f>IF(OR(B37="",D37=""),"",IF(OR(AND(INDEX(KRI!$D$4:$D$11,MATCH(B37,KRI!$A$4:$A$11,0))="≥",D37&gt;=INDEX(KRI!$E$4:$E$11,MATCH(B37,KRI!$A$4:$A$11,0))),AND(INDEX(KRI!$D$4:$D$11,MATCH(B37,KRI!$A$4:$A$11,0))="≤",D37&lt;=INDEX(KRI!$E$4:$E$11,MATCH(B37,KRI!$A$4:$A$11,0)))),"Alerta","En rango"))</f>
        <v/>
      </c>
      <c r="F37" s="16"/>
      <c r="G37" s="16"/>
      <c r="H37" s="14"/>
    </row>
    <row r="38" spans="1:8" ht="19.5" customHeight="1" x14ac:dyDescent="0.25">
      <c r="A38" s="10"/>
      <c r="B38" s="9"/>
      <c r="C38" s="6" t="str">
        <f>IF(B38="","",INDEX(KRI!$B$4:$B$11,MATCH(B38,KRI!$A$4:$A$11,0)))</f>
        <v/>
      </c>
      <c r="D38" s="9"/>
      <c r="E38" s="7" t="str">
        <f>IF(OR(B38="",D38=""),"",IF(OR(AND(INDEX(KRI!$D$4:$D$11,MATCH(B38,KRI!$A$4:$A$11,0))="≥",D38&gt;=INDEX(KRI!$E$4:$E$11,MATCH(B38,KRI!$A$4:$A$11,0))),AND(INDEX(KRI!$D$4:$D$11,MATCH(B38,KRI!$A$4:$A$11,0))="≤",D38&lt;=INDEX(KRI!$E$4:$E$11,MATCH(B38,KRI!$A$4:$A$11,0)))),"Alerta","En rango"))</f>
        <v/>
      </c>
      <c r="F38" s="11"/>
      <c r="G38" s="11"/>
      <c r="H38" s="9"/>
    </row>
    <row r="39" spans="1:8" ht="19.5" customHeight="1" x14ac:dyDescent="0.25">
      <c r="A39" s="15"/>
      <c r="B39" s="14"/>
      <c r="C39" s="12" t="str">
        <f>IF(B39="","",INDEX(KRI!$B$4:$B$11,MATCH(B39,KRI!$A$4:$A$11,0)))</f>
        <v/>
      </c>
      <c r="D39" s="14"/>
      <c r="E39" s="13" t="str">
        <f>IF(OR(B39="",D39=""),"",IF(OR(AND(INDEX(KRI!$D$4:$D$11,MATCH(B39,KRI!$A$4:$A$11,0))="≥",D39&gt;=INDEX(KRI!$E$4:$E$11,MATCH(B39,KRI!$A$4:$A$11,0))),AND(INDEX(KRI!$D$4:$D$11,MATCH(B39,KRI!$A$4:$A$11,0))="≤",D39&lt;=INDEX(KRI!$E$4:$E$11,MATCH(B39,KRI!$A$4:$A$11,0)))),"Alerta","En rango"))</f>
        <v/>
      </c>
      <c r="F39" s="16"/>
      <c r="G39" s="16"/>
      <c r="H39" s="14"/>
    </row>
    <row r="40" spans="1:8" ht="19.5" customHeight="1" x14ac:dyDescent="0.25">
      <c r="A40" s="10"/>
      <c r="B40" s="9"/>
      <c r="C40" s="6" t="str">
        <f>IF(B40="","",INDEX(KRI!$B$4:$B$11,MATCH(B40,KRI!$A$4:$A$11,0)))</f>
        <v/>
      </c>
      <c r="D40" s="9"/>
      <c r="E40" s="7" t="str">
        <f>IF(OR(B40="",D40=""),"",IF(OR(AND(INDEX(KRI!$D$4:$D$11,MATCH(B40,KRI!$A$4:$A$11,0))="≥",D40&gt;=INDEX(KRI!$E$4:$E$11,MATCH(B40,KRI!$A$4:$A$11,0))),AND(INDEX(KRI!$D$4:$D$11,MATCH(B40,KRI!$A$4:$A$11,0))="≤",D40&lt;=INDEX(KRI!$E$4:$E$11,MATCH(B40,KRI!$A$4:$A$11,0)))),"Alerta","En rango"))</f>
        <v/>
      </c>
      <c r="F40" s="11"/>
      <c r="G40" s="11"/>
      <c r="H40" s="9"/>
    </row>
    <row r="41" spans="1:8" ht="19.5" customHeight="1" x14ac:dyDescent="0.25">
      <c r="A41" s="15"/>
      <c r="B41" s="14"/>
      <c r="C41" s="12" t="str">
        <f>IF(B41="","",INDEX(KRI!$B$4:$B$11,MATCH(B41,KRI!$A$4:$A$11,0)))</f>
        <v/>
      </c>
      <c r="D41" s="14"/>
      <c r="E41" s="13" t="str">
        <f>IF(OR(B41="",D41=""),"",IF(OR(AND(INDEX(KRI!$D$4:$D$11,MATCH(B41,KRI!$A$4:$A$11,0))="≥",D41&gt;=INDEX(KRI!$E$4:$E$11,MATCH(B41,KRI!$A$4:$A$11,0))),AND(INDEX(KRI!$D$4:$D$11,MATCH(B41,KRI!$A$4:$A$11,0))="≤",D41&lt;=INDEX(KRI!$E$4:$E$11,MATCH(B41,KRI!$A$4:$A$11,0)))),"Alerta","En rango"))</f>
        <v/>
      </c>
      <c r="F41" s="16"/>
      <c r="G41" s="16"/>
      <c r="H41" s="14"/>
    </row>
    <row r="42" spans="1:8" ht="19.5" customHeight="1" x14ac:dyDescent="0.25">
      <c r="A42" s="10"/>
      <c r="B42" s="9"/>
      <c r="C42" s="6" t="str">
        <f>IF(B42="","",INDEX(KRI!$B$4:$B$11,MATCH(B42,KRI!$A$4:$A$11,0)))</f>
        <v/>
      </c>
      <c r="D42" s="9"/>
      <c r="E42" s="7" t="str">
        <f>IF(OR(B42="",D42=""),"",IF(OR(AND(INDEX(KRI!$D$4:$D$11,MATCH(B42,KRI!$A$4:$A$11,0))="≥",D42&gt;=INDEX(KRI!$E$4:$E$11,MATCH(B42,KRI!$A$4:$A$11,0))),AND(INDEX(KRI!$D$4:$D$11,MATCH(B42,KRI!$A$4:$A$11,0))="≤",D42&lt;=INDEX(KRI!$E$4:$E$11,MATCH(B42,KRI!$A$4:$A$11,0)))),"Alerta","En rango"))</f>
        <v/>
      </c>
      <c r="F42" s="11"/>
      <c r="G42" s="11"/>
      <c r="H42" s="9"/>
    </row>
    <row r="43" spans="1:8" ht="19.5" customHeight="1" x14ac:dyDescent="0.25">
      <c r="A43" s="15"/>
      <c r="B43" s="14"/>
      <c r="C43" s="12" t="str">
        <f>IF(B43="","",INDEX(KRI!$B$4:$B$11,MATCH(B43,KRI!$A$4:$A$11,0)))</f>
        <v/>
      </c>
      <c r="D43" s="14"/>
      <c r="E43" s="13" t="str">
        <f>IF(OR(B43="",D43=""),"",IF(OR(AND(INDEX(KRI!$D$4:$D$11,MATCH(B43,KRI!$A$4:$A$11,0))="≥",D43&gt;=INDEX(KRI!$E$4:$E$11,MATCH(B43,KRI!$A$4:$A$11,0))),AND(INDEX(KRI!$D$4:$D$11,MATCH(B43,KRI!$A$4:$A$11,0))="≤",D43&lt;=INDEX(KRI!$E$4:$E$11,MATCH(B43,KRI!$A$4:$A$11,0)))),"Alerta","En rango"))</f>
        <v/>
      </c>
      <c r="F43" s="16"/>
      <c r="G43" s="16"/>
      <c r="H43" s="14"/>
    </row>
    <row r="44" spans="1:8" ht="19.5" customHeight="1" x14ac:dyDescent="0.25">
      <c r="A44" s="10"/>
      <c r="B44" s="9"/>
      <c r="C44" s="6" t="str">
        <f>IF(B44="","",INDEX(KRI!$B$4:$B$11,MATCH(B44,KRI!$A$4:$A$11,0)))</f>
        <v/>
      </c>
      <c r="D44" s="9"/>
      <c r="E44" s="7" t="str">
        <f>IF(OR(B44="",D44=""),"",IF(OR(AND(INDEX(KRI!$D$4:$D$11,MATCH(B44,KRI!$A$4:$A$11,0))="≥",D44&gt;=INDEX(KRI!$E$4:$E$11,MATCH(B44,KRI!$A$4:$A$11,0))),AND(INDEX(KRI!$D$4:$D$11,MATCH(B44,KRI!$A$4:$A$11,0))="≤",D44&lt;=INDEX(KRI!$E$4:$E$11,MATCH(B44,KRI!$A$4:$A$11,0)))),"Alerta","En rango"))</f>
        <v/>
      </c>
      <c r="F44" s="11"/>
      <c r="G44" s="11"/>
      <c r="H44" s="9"/>
    </row>
    <row r="45" spans="1:8" ht="19.5" customHeight="1" x14ac:dyDescent="0.25">
      <c r="A45" s="15"/>
      <c r="B45" s="14"/>
      <c r="C45" s="12" t="str">
        <f>IF(B45="","",INDEX(KRI!$B$4:$B$11,MATCH(B45,KRI!$A$4:$A$11,0)))</f>
        <v/>
      </c>
      <c r="D45" s="14"/>
      <c r="E45" s="13" t="str">
        <f>IF(OR(B45="",D45=""),"",IF(OR(AND(INDEX(KRI!$D$4:$D$11,MATCH(B45,KRI!$A$4:$A$11,0))="≥",D45&gt;=INDEX(KRI!$E$4:$E$11,MATCH(B45,KRI!$A$4:$A$11,0))),AND(INDEX(KRI!$D$4:$D$11,MATCH(B45,KRI!$A$4:$A$11,0))="≤",D45&lt;=INDEX(KRI!$E$4:$E$11,MATCH(B45,KRI!$A$4:$A$11,0)))),"Alerta","En rango"))</f>
        <v/>
      </c>
      <c r="F45" s="16"/>
      <c r="G45" s="16"/>
      <c r="H45" s="14"/>
    </row>
    <row r="46" spans="1:8" ht="19.5" customHeight="1" x14ac:dyDescent="0.25">
      <c r="A46" s="10"/>
      <c r="B46" s="9"/>
      <c r="C46" s="6" t="str">
        <f>IF(B46="","",INDEX(KRI!$B$4:$B$11,MATCH(B46,KRI!$A$4:$A$11,0)))</f>
        <v/>
      </c>
      <c r="D46" s="9"/>
      <c r="E46" s="7" t="str">
        <f>IF(OR(B46="",D46=""),"",IF(OR(AND(INDEX(KRI!$D$4:$D$11,MATCH(B46,KRI!$A$4:$A$11,0))="≥",D46&gt;=INDEX(KRI!$E$4:$E$11,MATCH(B46,KRI!$A$4:$A$11,0))),AND(INDEX(KRI!$D$4:$D$11,MATCH(B46,KRI!$A$4:$A$11,0))="≤",D46&lt;=INDEX(KRI!$E$4:$E$11,MATCH(B46,KRI!$A$4:$A$11,0)))),"Alerta","En rango"))</f>
        <v/>
      </c>
      <c r="F46" s="11"/>
      <c r="G46" s="11"/>
      <c r="H46" s="9"/>
    </row>
    <row r="47" spans="1:8" ht="19.5" customHeight="1" x14ac:dyDescent="0.25">
      <c r="A47" s="15"/>
      <c r="B47" s="14"/>
      <c r="C47" s="12" t="str">
        <f>IF(B47="","",INDEX(KRI!$B$4:$B$11,MATCH(B47,KRI!$A$4:$A$11,0)))</f>
        <v/>
      </c>
      <c r="D47" s="14"/>
      <c r="E47" s="13" t="str">
        <f>IF(OR(B47="",D47=""),"",IF(OR(AND(INDEX(KRI!$D$4:$D$11,MATCH(B47,KRI!$A$4:$A$11,0))="≥",D47&gt;=INDEX(KRI!$E$4:$E$11,MATCH(B47,KRI!$A$4:$A$11,0))),AND(INDEX(KRI!$D$4:$D$11,MATCH(B47,KRI!$A$4:$A$11,0))="≤",D47&lt;=INDEX(KRI!$E$4:$E$11,MATCH(B47,KRI!$A$4:$A$11,0)))),"Alerta","En rango"))</f>
        <v/>
      </c>
      <c r="F47" s="16"/>
      <c r="G47" s="16"/>
      <c r="H47" s="14"/>
    </row>
    <row r="48" spans="1:8" ht="19.5" customHeight="1" x14ac:dyDescent="0.25">
      <c r="A48" s="10"/>
      <c r="B48" s="9"/>
      <c r="C48" s="6" t="str">
        <f>IF(B48="","",INDEX(KRI!$B$4:$B$11,MATCH(B48,KRI!$A$4:$A$11,0)))</f>
        <v/>
      </c>
      <c r="D48" s="9"/>
      <c r="E48" s="7" t="str">
        <f>IF(OR(B48="",D48=""),"",IF(OR(AND(INDEX(KRI!$D$4:$D$11,MATCH(B48,KRI!$A$4:$A$11,0))="≥",D48&gt;=INDEX(KRI!$E$4:$E$11,MATCH(B48,KRI!$A$4:$A$11,0))),AND(INDEX(KRI!$D$4:$D$11,MATCH(B48,KRI!$A$4:$A$11,0))="≤",D48&lt;=INDEX(KRI!$E$4:$E$11,MATCH(B48,KRI!$A$4:$A$11,0)))),"Alerta","En rango"))</f>
        <v/>
      </c>
      <c r="F48" s="11"/>
      <c r="G48" s="11"/>
      <c r="H48" s="9"/>
    </row>
    <row r="49" spans="1:8" ht="19.5" customHeight="1" x14ac:dyDescent="0.25">
      <c r="A49" s="15"/>
      <c r="B49" s="14"/>
      <c r="C49" s="12" t="str">
        <f>IF(B49="","",INDEX(KRI!$B$4:$B$11,MATCH(B49,KRI!$A$4:$A$11,0)))</f>
        <v/>
      </c>
      <c r="D49" s="14"/>
      <c r="E49" s="13" t="str">
        <f>IF(OR(B49="",D49=""),"",IF(OR(AND(INDEX(KRI!$D$4:$D$11,MATCH(B49,KRI!$A$4:$A$11,0))="≥",D49&gt;=INDEX(KRI!$E$4:$E$11,MATCH(B49,KRI!$A$4:$A$11,0))),AND(INDEX(KRI!$D$4:$D$11,MATCH(B49,KRI!$A$4:$A$11,0))="≤",D49&lt;=INDEX(KRI!$E$4:$E$11,MATCH(B49,KRI!$A$4:$A$11,0)))),"Alerta","En rango"))</f>
        <v/>
      </c>
      <c r="F49" s="16"/>
      <c r="G49" s="16"/>
      <c r="H49" s="14"/>
    </row>
    <row r="50" spans="1:8" ht="19.5" customHeight="1" x14ac:dyDescent="0.25">
      <c r="A50" s="10"/>
      <c r="B50" s="9"/>
      <c r="C50" s="6" t="str">
        <f>IF(B50="","",INDEX(KRI!$B$4:$B$11,MATCH(B50,KRI!$A$4:$A$11,0)))</f>
        <v/>
      </c>
      <c r="D50" s="9"/>
      <c r="E50" s="7" t="str">
        <f>IF(OR(B50="",D50=""),"",IF(OR(AND(INDEX(KRI!$D$4:$D$11,MATCH(B50,KRI!$A$4:$A$11,0))="≥",D50&gt;=INDEX(KRI!$E$4:$E$11,MATCH(B50,KRI!$A$4:$A$11,0))),AND(INDEX(KRI!$D$4:$D$11,MATCH(B50,KRI!$A$4:$A$11,0))="≤",D50&lt;=INDEX(KRI!$E$4:$E$11,MATCH(B50,KRI!$A$4:$A$11,0)))),"Alerta","En rango"))</f>
        <v/>
      </c>
      <c r="F50" s="11"/>
      <c r="G50" s="11"/>
      <c r="H50" s="9"/>
    </row>
    <row r="51" spans="1:8" ht="19.5" customHeight="1" x14ac:dyDescent="0.25">
      <c r="A51" s="15"/>
      <c r="B51" s="14"/>
      <c r="C51" s="12" t="str">
        <f>IF(B51="","",INDEX(KRI!$B$4:$B$11,MATCH(B51,KRI!$A$4:$A$11,0)))</f>
        <v/>
      </c>
      <c r="D51" s="14"/>
      <c r="E51" s="13" t="str">
        <f>IF(OR(B51="",D51=""),"",IF(OR(AND(INDEX(KRI!$D$4:$D$11,MATCH(B51,KRI!$A$4:$A$11,0))="≥",D51&gt;=INDEX(KRI!$E$4:$E$11,MATCH(B51,KRI!$A$4:$A$11,0))),AND(INDEX(KRI!$D$4:$D$11,MATCH(B51,KRI!$A$4:$A$11,0))="≤",D51&lt;=INDEX(KRI!$E$4:$E$11,MATCH(B51,KRI!$A$4:$A$11,0)))),"Alerta","En rango"))</f>
        <v/>
      </c>
      <c r="F51" s="16"/>
      <c r="G51" s="16"/>
      <c r="H51" s="14"/>
    </row>
    <row r="52" spans="1:8" ht="19.5" customHeight="1" x14ac:dyDescent="0.25">
      <c r="A52" s="10"/>
      <c r="B52" s="9"/>
      <c r="C52" s="6" t="str">
        <f>IF(B52="","",INDEX(KRI!$B$4:$B$11,MATCH(B52,KRI!$A$4:$A$11,0)))</f>
        <v/>
      </c>
      <c r="D52" s="9"/>
      <c r="E52" s="7" t="str">
        <f>IF(OR(B52="",D52=""),"",IF(OR(AND(INDEX(KRI!$D$4:$D$11,MATCH(B52,KRI!$A$4:$A$11,0))="≥",D52&gt;=INDEX(KRI!$E$4:$E$11,MATCH(B52,KRI!$A$4:$A$11,0))),AND(INDEX(KRI!$D$4:$D$11,MATCH(B52,KRI!$A$4:$A$11,0))="≤",D52&lt;=INDEX(KRI!$E$4:$E$11,MATCH(B52,KRI!$A$4:$A$11,0)))),"Alerta","En rango"))</f>
        <v/>
      </c>
      <c r="F52" s="11"/>
      <c r="G52" s="11"/>
      <c r="H52" s="9"/>
    </row>
    <row r="53" spans="1:8" ht="19.5" customHeight="1" x14ac:dyDescent="0.25">
      <c r="A53" s="15"/>
      <c r="B53" s="14"/>
      <c r="C53" s="12" t="str">
        <f>IF(B53="","",INDEX(KRI!$B$4:$B$11,MATCH(B53,KRI!$A$4:$A$11,0)))</f>
        <v/>
      </c>
      <c r="D53" s="14"/>
      <c r="E53" s="13" t="str">
        <f>IF(OR(B53="",D53=""),"",IF(OR(AND(INDEX(KRI!$D$4:$D$11,MATCH(B53,KRI!$A$4:$A$11,0))="≥",D53&gt;=INDEX(KRI!$E$4:$E$11,MATCH(B53,KRI!$A$4:$A$11,0))),AND(INDEX(KRI!$D$4:$D$11,MATCH(B53,KRI!$A$4:$A$11,0))="≤",D53&lt;=INDEX(KRI!$E$4:$E$11,MATCH(B53,KRI!$A$4:$A$11,0)))),"Alerta","En rango"))</f>
        <v/>
      </c>
      <c r="F53" s="16"/>
      <c r="G53" s="16"/>
      <c r="H53" s="14"/>
    </row>
    <row r="54" spans="1:8" ht="19.5" customHeight="1" x14ac:dyDescent="0.25">
      <c r="A54" s="10"/>
      <c r="B54" s="9"/>
      <c r="C54" s="6" t="str">
        <f>IF(B54="","",INDEX(KRI!$B$4:$B$11,MATCH(B54,KRI!$A$4:$A$11,0)))</f>
        <v/>
      </c>
      <c r="D54" s="9"/>
      <c r="E54" s="7" t="str">
        <f>IF(OR(B54="",D54=""),"",IF(OR(AND(INDEX(KRI!$D$4:$D$11,MATCH(B54,KRI!$A$4:$A$11,0))="≥",D54&gt;=INDEX(KRI!$E$4:$E$11,MATCH(B54,KRI!$A$4:$A$11,0))),AND(INDEX(KRI!$D$4:$D$11,MATCH(B54,KRI!$A$4:$A$11,0))="≤",D54&lt;=INDEX(KRI!$E$4:$E$11,MATCH(B54,KRI!$A$4:$A$11,0)))),"Alerta","En rango"))</f>
        <v/>
      </c>
      <c r="F54" s="11"/>
      <c r="G54" s="11"/>
      <c r="H54" s="9"/>
    </row>
    <row r="55" spans="1:8" ht="19.5" customHeight="1" x14ac:dyDescent="0.25">
      <c r="A55" s="15"/>
      <c r="B55" s="14"/>
      <c r="C55" s="12" t="str">
        <f>IF(B55="","",INDEX(KRI!$B$4:$B$11,MATCH(B55,KRI!$A$4:$A$11,0)))</f>
        <v/>
      </c>
      <c r="D55" s="14"/>
      <c r="E55" s="13" t="str">
        <f>IF(OR(B55="",D55=""),"",IF(OR(AND(INDEX(KRI!$D$4:$D$11,MATCH(B55,KRI!$A$4:$A$11,0))="≥",D55&gt;=INDEX(KRI!$E$4:$E$11,MATCH(B55,KRI!$A$4:$A$11,0))),AND(INDEX(KRI!$D$4:$D$11,MATCH(B55,KRI!$A$4:$A$11,0))="≤",D55&lt;=INDEX(KRI!$E$4:$E$11,MATCH(B55,KRI!$A$4:$A$11,0)))),"Alerta","En rango"))</f>
        <v/>
      </c>
      <c r="F55" s="16"/>
      <c r="G55" s="16"/>
      <c r="H55" s="14"/>
    </row>
    <row r="56" spans="1:8" ht="19.5" customHeight="1" x14ac:dyDescent="0.25">
      <c r="A56" s="10"/>
      <c r="B56" s="9"/>
      <c r="C56" s="6" t="str">
        <f>IF(B56="","",INDEX(KRI!$B$4:$B$11,MATCH(B56,KRI!$A$4:$A$11,0)))</f>
        <v/>
      </c>
      <c r="D56" s="9"/>
      <c r="E56" s="7" t="str">
        <f>IF(OR(B56="",D56=""),"",IF(OR(AND(INDEX(KRI!$D$4:$D$11,MATCH(B56,KRI!$A$4:$A$11,0))="≥",D56&gt;=INDEX(KRI!$E$4:$E$11,MATCH(B56,KRI!$A$4:$A$11,0))),AND(INDEX(KRI!$D$4:$D$11,MATCH(B56,KRI!$A$4:$A$11,0))="≤",D56&lt;=INDEX(KRI!$E$4:$E$11,MATCH(B56,KRI!$A$4:$A$11,0)))),"Alerta","En rango"))</f>
        <v/>
      </c>
      <c r="F56" s="11"/>
      <c r="G56" s="11"/>
      <c r="H56" s="9"/>
    </row>
    <row r="57" spans="1:8" ht="19.5" customHeight="1" x14ac:dyDescent="0.25">
      <c r="A57" s="15"/>
      <c r="B57" s="14"/>
      <c r="C57" s="12" t="str">
        <f>IF(B57="","",INDEX(KRI!$B$4:$B$11,MATCH(B57,KRI!$A$4:$A$11,0)))</f>
        <v/>
      </c>
      <c r="D57" s="14"/>
      <c r="E57" s="13" t="str">
        <f>IF(OR(B57="",D57=""),"",IF(OR(AND(INDEX(KRI!$D$4:$D$11,MATCH(B57,KRI!$A$4:$A$11,0))="≥",D57&gt;=INDEX(KRI!$E$4:$E$11,MATCH(B57,KRI!$A$4:$A$11,0))),AND(INDEX(KRI!$D$4:$D$11,MATCH(B57,KRI!$A$4:$A$11,0))="≤",D57&lt;=INDEX(KRI!$E$4:$E$11,MATCH(B57,KRI!$A$4:$A$11,0)))),"Alerta","En rango"))</f>
        <v/>
      </c>
      <c r="F57" s="16"/>
      <c r="G57" s="16"/>
      <c r="H57" s="14"/>
    </row>
    <row r="58" spans="1:8" ht="19.5" customHeight="1" x14ac:dyDescent="0.25">
      <c r="A58" s="10"/>
      <c r="B58" s="9"/>
      <c r="C58" s="6" t="str">
        <f>IF(B58="","",INDEX(KRI!$B$4:$B$11,MATCH(B58,KRI!$A$4:$A$11,0)))</f>
        <v/>
      </c>
      <c r="D58" s="9"/>
      <c r="E58" s="7" t="str">
        <f>IF(OR(B58="",D58=""),"",IF(OR(AND(INDEX(KRI!$D$4:$D$11,MATCH(B58,KRI!$A$4:$A$11,0))="≥",D58&gt;=INDEX(KRI!$E$4:$E$11,MATCH(B58,KRI!$A$4:$A$11,0))),AND(INDEX(KRI!$D$4:$D$11,MATCH(B58,KRI!$A$4:$A$11,0))="≤",D58&lt;=INDEX(KRI!$E$4:$E$11,MATCH(B58,KRI!$A$4:$A$11,0)))),"Alerta","En rango"))</f>
        <v/>
      </c>
      <c r="F58" s="11"/>
      <c r="G58" s="11"/>
      <c r="H58" s="9"/>
    </row>
    <row r="59" spans="1:8" ht="19.5" customHeight="1" x14ac:dyDescent="0.25">
      <c r="A59" s="15"/>
      <c r="B59" s="14"/>
      <c r="C59" s="12" t="str">
        <f>IF(B59="","",INDEX(KRI!$B$4:$B$11,MATCH(B59,KRI!$A$4:$A$11,0)))</f>
        <v/>
      </c>
      <c r="D59" s="14"/>
      <c r="E59" s="13" t="str">
        <f>IF(OR(B59="",D59=""),"",IF(OR(AND(INDEX(KRI!$D$4:$D$11,MATCH(B59,KRI!$A$4:$A$11,0))="≥",D59&gt;=INDEX(KRI!$E$4:$E$11,MATCH(B59,KRI!$A$4:$A$11,0))),AND(INDEX(KRI!$D$4:$D$11,MATCH(B59,KRI!$A$4:$A$11,0))="≤",D59&lt;=INDEX(KRI!$E$4:$E$11,MATCH(B59,KRI!$A$4:$A$11,0)))),"Alerta","En rango"))</f>
        <v/>
      </c>
      <c r="F59" s="16"/>
      <c r="G59" s="16"/>
      <c r="H59" s="14"/>
    </row>
    <row r="60" spans="1:8" ht="19.5" customHeight="1" x14ac:dyDescent="0.25">
      <c r="A60" s="10"/>
      <c r="B60" s="9"/>
      <c r="C60" s="6" t="str">
        <f>IF(B60="","",INDEX(KRI!$B$4:$B$11,MATCH(B60,KRI!$A$4:$A$11,0)))</f>
        <v/>
      </c>
      <c r="D60" s="9"/>
      <c r="E60" s="7" t="str">
        <f>IF(OR(B60="",D60=""),"",IF(OR(AND(INDEX(KRI!$D$4:$D$11,MATCH(B60,KRI!$A$4:$A$11,0))="≥",D60&gt;=INDEX(KRI!$E$4:$E$11,MATCH(B60,KRI!$A$4:$A$11,0))),AND(INDEX(KRI!$D$4:$D$11,MATCH(B60,KRI!$A$4:$A$11,0))="≤",D60&lt;=INDEX(KRI!$E$4:$E$11,MATCH(B60,KRI!$A$4:$A$11,0)))),"Alerta","En rango"))</f>
        <v/>
      </c>
      <c r="F60" s="11"/>
      <c r="G60" s="11"/>
      <c r="H60" s="9"/>
    </row>
    <row r="61" spans="1:8" ht="19.5" customHeight="1" x14ac:dyDescent="0.25">
      <c r="A61" s="15"/>
      <c r="B61" s="14"/>
      <c r="C61" s="12" t="str">
        <f>IF(B61="","",INDEX(KRI!$B$4:$B$11,MATCH(B61,KRI!$A$4:$A$11,0)))</f>
        <v/>
      </c>
      <c r="D61" s="14"/>
      <c r="E61" s="13" t="str">
        <f>IF(OR(B61="",D61=""),"",IF(OR(AND(INDEX(KRI!$D$4:$D$11,MATCH(B61,KRI!$A$4:$A$11,0))="≥",D61&gt;=INDEX(KRI!$E$4:$E$11,MATCH(B61,KRI!$A$4:$A$11,0))),AND(INDEX(KRI!$D$4:$D$11,MATCH(B61,KRI!$A$4:$A$11,0))="≤",D61&lt;=INDEX(KRI!$E$4:$E$11,MATCH(B61,KRI!$A$4:$A$11,0)))),"Alerta","En rango"))</f>
        <v/>
      </c>
      <c r="F61" s="16"/>
      <c r="G61" s="16"/>
      <c r="H61" s="14"/>
    </row>
    <row r="62" spans="1:8" ht="19.5" customHeight="1" x14ac:dyDescent="0.25">
      <c r="A62" s="10"/>
      <c r="B62" s="9"/>
      <c r="C62" s="6" t="str">
        <f>IF(B62="","",INDEX(KRI!$B$4:$B$11,MATCH(B62,KRI!$A$4:$A$11,0)))</f>
        <v/>
      </c>
      <c r="D62" s="9"/>
      <c r="E62" s="7" t="str">
        <f>IF(OR(B62="",D62=""),"",IF(OR(AND(INDEX(KRI!$D$4:$D$11,MATCH(B62,KRI!$A$4:$A$11,0))="≥",D62&gt;=INDEX(KRI!$E$4:$E$11,MATCH(B62,KRI!$A$4:$A$11,0))),AND(INDEX(KRI!$D$4:$D$11,MATCH(B62,KRI!$A$4:$A$11,0))="≤",D62&lt;=INDEX(KRI!$E$4:$E$11,MATCH(B62,KRI!$A$4:$A$11,0)))),"Alerta","En rango"))</f>
        <v/>
      </c>
      <c r="F62" s="11"/>
      <c r="G62" s="11"/>
      <c r="H62" s="9"/>
    </row>
    <row r="63" spans="1:8" ht="19.5" customHeight="1" x14ac:dyDescent="0.25">
      <c r="A63" s="15"/>
      <c r="B63" s="14"/>
      <c r="C63" s="12" t="str">
        <f>IF(B63="","",INDEX(KRI!$B$4:$B$11,MATCH(B63,KRI!$A$4:$A$11,0)))</f>
        <v/>
      </c>
      <c r="D63" s="14"/>
      <c r="E63" s="13" t="str">
        <f>IF(OR(B63="",D63=""),"",IF(OR(AND(INDEX(KRI!$D$4:$D$11,MATCH(B63,KRI!$A$4:$A$11,0))="≥",D63&gt;=INDEX(KRI!$E$4:$E$11,MATCH(B63,KRI!$A$4:$A$11,0))),AND(INDEX(KRI!$D$4:$D$11,MATCH(B63,KRI!$A$4:$A$11,0))="≤",D63&lt;=INDEX(KRI!$E$4:$E$11,MATCH(B63,KRI!$A$4:$A$11,0)))),"Alerta","En rango"))</f>
        <v/>
      </c>
      <c r="F63" s="16"/>
      <c r="G63" s="16"/>
      <c r="H63" s="14"/>
    </row>
    <row r="64" spans="1:8" ht="19.5" customHeight="1" x14ac:dyDescent="0.25">
      <c r="A64" s="10"/>
      <c r="B64" s="9"/>
      <c r="C64" s="6" t="str">
        <f>IF(B64="","",INDEX(KRI!$B$4:$B$11,MATCH(B64,KRI!$A$4:$A$11,0)))</f>
        <v/>
      </c>
      <c r="D64" s="9"/>
      <c r="E64" s="7" t="str">
        <f>IF(OR(B64="",D64=""),"",IF(OR(AND(INDEX(KRI!$D$4:$D$11,MATCH(B64,KRI!$A$4:$A$11,0))="≥",D64&gt;=INDEX(KRI!$E$4:$E$11,MATCH(B64,KRI!$A$4:$A$11,0))),AND(INDEX(KRI!$D$4:$D$11,MATCH(B64,KRI!$A$4:$A$11,0))="≤",D64&lt;=INDEX(KRI!$E$4:$E$11,MATCH(B64,KRI!$A$4:$A$11,0)))),"Alerta","En rango"))</f>
        <v/>
      </c>
      <c r="F64" s="11"/>
      <c r="G64" s="11"/>
      <c r="H64" s="9"/>
    </row>
    <row r="65" spans="1:8" ht="19.5" customHeight="1" x14ac:dyDescent="0.25">
      <c r="A65" s="15"/>
      <c r="B65" s="14"/>
      <c r="C65" s="12" t="str">
        <f>IF(B65="","",INDEX(KRI!$B$4:$B$11,MATCH(B65,KRI!$A$4:$A$11,0)))</f>
        <v/>
      </c>
      <c r="D65" s="14"/>
      <c r="E65" s="13" t="str">
        <f>IF(OR(B65="",D65=""),"",IF(OR(AND(INDEX(KRI!$D$4:$D$11,MATCH(B65,KRI!$A$4:$A$11,0))="≥",D65&gt;=INDEX(KRI!$E$4:$E$11,MATCH(B65,KRI!$A$4:$A$11,0))),AND(INDEX(KRI!$D$4:$D$11,MATCH(B65,KRI!$A$4:$A$11,0))="≤",D65&lt;=INDEX(KRI!$E$4:$E$11,MATCH(B65,KRI!$A$4:$A$11,0)))),"Alerta","En rango"))</f>
        <v/>
      </c>
      <c r="F65" s="16"/>
      <c r="G65" s="16"/>
      <c r="H65" s="14"/>
    </row>
    <row r="66" spans="1:8" ht="19.5" customHeight="1" x14ac:dyDescent="0.25">
      <c r="A66" s="10"/>
      <c r="B66" s="9"/>
      <c r="C66" s="6" t="str">
        <f>IF(B66="","",INDEX(KRI!$B$4:$B$11,MATCH(B66,KRI!$A$4:$A$11,0)))</f>
        <v/>
      </c>
      <c r="D66" s="9"/>
      <c r="E66" s="7" t="str">
        <f>IF(OR(B66="",D66=""),"",IF(OR(AND(INDEX(KRI!$D$4:$D$11,MATCH(B66,KRI!$A$4:$A$11,0))="≥",D66&gt;=INDEX(KRI!$E$4:$E$11,MATCH(B66,KRI!$A$4:$A$11,0))),AND(INDEX(KRI!$D$4:$D$11,MATCH(B66,KRI!$A$4:$A$11,0))="≤",D66&lt;=INDEX(KRI!$E$4:$E$11,MATCH(B66,KRI!$A$4:$A$11,0)))),"Alerta","En rango"))</f>
        <v/>
      </c>
      <c r="F66" s="11"/>
      <c r="G66" s="11"/>
      <c r="H66" s="9"/>
    </row>
    <row r="67" spans="1:8" ht="19.5" customHeight="1" x14ac:dyDescent="0.25">
      <c r="A67" s="15"/>
      <c r="B67" s="14"/>
      <c r="C67" s="12" t="str">
        <f>IF(B67="","",INDEX(KRI!$B$4:$B$11,MATCH(B67,KRI!$A$4:$A$11,0)))</f>
        <v/>
      </c>
      <c r="D67" s="14"/>
      <c r="E67" s="13" t="str">
        <f>IF(OR(B67="",D67=""),"",IF(OR(AND(INDEX(KRI!$D$4:$D$11,MATCH(B67,KRI!$A$4:$A$11,0))="≥",D67&gt;=INDEX(KRI!$E$4:$E$11,MATCH(B67,KRI!$A$4:$A$11,0))),AND(INDEX(KRI!$D$4:$D$11,MATCH(B67,KRI!$A$4:$A$11,0))="≤",D67&lt;=INDEX(KRI!$E$4:$E$11,MATCH(B67,KRI!$A$4:$A$11,0)))),"Alerta","En rango"))</f>
        <v/>
      </c>
      <c r="F67" s="16"/>
      <c r="G67" s="16"/>
      <c r="H67" s="14"/>
    </row>
    <row r="68" spans="1:8" ht="19.5" customHeight="1" x14ac:dyDescent="0.25">
      <c r="A68" s="10"/>
      <c r="B68" s="9"/>
      <c r="C68" s="6" t="str">
        <f>IF(B68="","",INDEX(KRI!$B$4:$B$11,MATCH(B68,KRI!$A$4:$A$11,0)))</f>
        <v/>
      </c>
      <c r="D68" s="9"/>
      <c r="E68" s="7" t="str">
        <f>IF(OR(B68="",D68=""),"",IF(OR(AND(INDEX(KRI!$D$4:$D$11,MATCH(B68,KRI!$A$4:$A$11,0))="≥",D68&gt;=INDEX(KRI!$E$4:$E$11,MATCH(B68,KRI!$A$4:$A$11,0))),AND(INDEX(KRI!$D$4:$D$11,MATCH(B68,KRI!$A$4:$A$11,0))="≤",D68&lt;=INDEX(KRI!$E$4:$E$11,MATCH(B68,KRI!$A$4:$A$11,0)))),"Alerta","En rango"))</f>
        <v/>
      </c>
      <c r="F68" s="11"/>
      <c r="G68" s="11"/>
      <c r="H68" s="9"/>
    </row>
    <row r="69" spans="1:8" ht="19.5" customHeight="1" x14ac:dyDescent="0.25">
      <c r="A69" s="15"/>
      <c r="B69" s="14"/>
      <c r="C69" s="12" t="str">
        <f>IF(B69="","",INDEX(KRI!$B$4:$B$11,MATCH(B69,KRI!$A$4:$A$11,0)))</f>
        <v/>
      </c>
      <c r="D69" s="14"/>
      <c r="E69" s="13" t="str">
        <f>IF(OR(B69="",D69=""),"",IF(OR(AND(INDEX(KRI!$D$4:$D$11,MATCH(B69,KRI!$A$4:$A$11,0))="≥",D69&gt;=INDEX(KRI!$E$4:$E$11,MATCH(B69,KRI!$A$4:$A$11,0))),AND(INDEX(KRI!$D$4:$D$11,MATCH(B69,KRI!$A$4:$A$11,0))="≤",D69&lt;=INDEX(KRI!$E$4:$E$11,MATCH(B69,KRI!$A$4:$A$11,0)))),"Alerta","En rango"))</f>
        <v/>
      </c>
      <c r="F69" s="16"/>
      <c r="G69" s="16"/>
      <c r="H69" s="14"/>
    </row>
    <row r="70" spans="1:8" ht="19.5" customHeight="1" x14ac:dyDescent="0.25">
      <c r="A70" s="10"/>
      <c r="B70" s="9"/>
      <c r="C70" s="6" t="str">
        <f>IF(B70="","",INDEX(KRI!$B$4:$B$11,MATCH(B70,KRI!$A$4:$A$11,0)))</f>
        <v/>
      </c>
      <c r="D70" s="9"/>
      <c r="E70" s="7" t="str">
        <f>IF(OR(B70="",D70=""),"",IF(OR(AND(INDEX(KRI!$D$4:$D$11,MATCH(B70,KRI!$A$4:$A$11,0))="≥",D70&gt;=INDEX(KRI!$E$4:$E$11,MATCH(B70,KRI!$A$4:$A$11,0))),AND(INDEX(KRI!$D$4:$D$11,MATCH(B70,KRI!$A$4:$A$11,0))="≤",D70&lt;=INDEX(KRI!$E$4:$E$11,MATCH(B70,KRI!$A$4:$A$11,0)))),"Alerta","En rango"))</f>
        <v/>
      </c>
      <c r="F70" s="11"/>
      <c r="G70" s="11"/>
      <c r="H70" s="9"/>
    </row>
    <row r="71" spans="1:8" ht="19.5" customHeight="1" x14ac:dyDescent="0.25">
      <c r="A71" s="15"/>
      <c r="B71" s="14"/>
      <c r="C71" s="12" t="str">
        <f>IF(B71="","",INDEX(KRI!$B$4:$B$11,MATCH(B71,KRI!$A$4:$A$11,0)))</f>
        <v/>
      </c>
      <c r="D71" s="14"/>
      <c r="E71" s="13" t="str">
        <f>IF(OR(B71="",D71=""),"",IF(OR(AND(INDEX(KRI!$D$4:$D$11,MATCH(B71,KRI!$A$4:$A$11,0))="≥",D71&gt;=INDEX(KRI!$E$4:$E$11,MATCH(B71,KRI!$A$4:$A$11,0))),AND(INDEX(KRI!$D$4:$D$11,MATCH(B71,KRI!$A$4:$A$11,0))="≤",D71&lt;=INDEX(KRI!$E$4:$E$11,MATCH(B71,KRI!$A$4:$A$11,0)))),"Alerta","En rango"))</f>
        <v/>
      </c>
      <c r="F71" s="16"/>
      <c r="G71" s="16"/>
      <c r="H71" s="14"/>
    </row>
    <row r="72" spans="1:8" ht="19.5" customHeight="1" x14ac:dyDescent="0.25">
      <c r="A72" s="10"/>
      <c r="B72" s="9"/>
      <c r="C72" s="6" t="str">
        <f>IF(B72="","",INDEX(KRI!$B$4:$B$11,MATCH(B72,KRI!$A$4:$A$11,0)))</f>
        <v/>
      </c>
      <c r="D72" s="9"/>
      <c r="E72" s="7" t="str">
        <f>IF(OR(B72="",D72=""),"",IF(OR(AND(INDEX(KRI!$D$4:$D$11,MATCH(B72,KRI!$A$4:$A$11,0))="≥",D72&gt;=INDEX(KRI!$E$4:$E$11,MATCH(B72,KRI!$A$4:$A$11,0))),AND(INDEX(KRI!$D$4:$D$11,MATCH(B72,KRI!$A$4:$A$11,0))="≤",D72&lt;=INDEX(KRI!$E$4:$E$11,MATCH(B72,KRI!$A$4:$A$11,0)))),"Alerta","En rango"))</f>
        <v/>
      </c>
      <c r="F72" s="11"/>
      <c r="G72" s="11"/>
      <c r="H72" s="9"/>
    </row>
    <row r="73" spans="1:8" ht="19.5" customHeight="1" x14ac:dyDescent="0.25">
      <c r="A73" s="15"/>
      <c r="B73" s="14"/>
      <c r="C73" s="12" t="str">
        <f>IF(B73="","",INDEX(KRI!$B$4:$B$11,MATCH(B73,KRI!$A$4:$A$11,0)))</f>
        <v/>
      </c>
      <c r="D73" s="14"/>
      <c r="E73" s="13" t="str">
        <f>IF(OR(B73="",D73=""),"",IF(OR(AND(INDEX(KRI!$D$4:$D$11,MATCH(B73,KRI!$A$4:$A$11,0))="≥",D73&gt;=INDEX(KRI!$E$4:$E$11,MATCH(B73,KRI!$A$4:$A$11,0))),AND(INDEX(KRI!$D$4:$D$11,MATCH(B73,KRI!$A$4:$A$11,0))="≤",D73&lt;=INDEX(KRI!$E$4:$E$11,MATCH(B73,KRI!$A$4:$A$11,0)))),"Alerta","En rango"))</f>
        <v/>
      </c>
      <c r="F73" s="16"/>
      <c r="G73" s="16"/>
      <c r="H73" s="14"/>
    </row>
    <row r="74" spans="1:8" ht="19.5" customHeight="1" x14ac:dyDescent="0.25">
      <c r="A74" s="10"/>
      <c r="B74" s="9"/>
      <c r="C74" s="6" t="str">
        <f>IF(B74="","",INDEX(KRI!$B$4:$B$11,MATCH(B74,KRI!$A$4:$A$11,0)))</f>
        <v/>
      </c>
      <c r="D74" s="9"/>
      <c r="E74" s="7" t="str">
        <f>IF(OR(B74="",D74=""),"",IF(OR(AND(INDEX(KRI!$D$4:$D$11,MATCH(B74,KRI!$A$4:$A$11,0))="≥",D74&gt;=INDEX(KRI!$E$4:$E$11,MATCH(B74,KRI!$A$4:$A$11,0))),AND(INDEX(KRI!$D$4:$D$11,MATCH(B74,KRI!$A$4:$A$11,0))="≤",D74&lt;=INDEX(KRI!$E$4:$E$11,MATCH(B74,KRI!$A$4:$A$11,0)))),"Alerta","En rango"))</f>
        <v/>
      </c>
      <c r="F74" s="11"/>
      <c r="G74" s="11"/>
      <c r="H74" s="9"/>
    </row>
    <row r="75" spans="1:8" ht="19.5" customHeight="1" x14ac:dyDescent="0.25">
      <c r="A75" s="15"/>
      <c r="B75" s="14"/>
      <c r="C75" s="12" t="str">
        <f>IF(B75="","",INDEX(KRI!$B$4:$B$11,MATCH(B75,KRI!$A$4:$A$11,0)))</f>
        <v/>
      </c>
      <c r="D75" s="14"/>
      <c r="E75" s="13" t="str">
        <f>IF(OR(B75="",D75=""),"",IF(OR(AND(INDEX(KRI!$D$4:$D$11,MATCH(B75,KRI!$A$4:$A$11,0))="≥",D75&gt;=INDEX(KRI!$E$4:$E$11,MATCH(B75,KRI!$A$4:$A$11,0))),AND(INDEX(KRI!$D$4:$D$11,MATCH(B75,KRI!$A$4:$A$11,0))="≤",D75&lt;=INDEX(KRI!$E$4:$E$11,MATCH(B75,KRI!$A$4:$A$11,0)))),"Alerta","En rango"))</f>
        <v/>
      </c>
      <c r="F75" s="16"/>
      <c r="G75" s="16"/>
      <c r="H75" s="14"/>
    </row>
    <row r="76" spans="1:8" ht="19.5" customHeight="1" x14ac:dyDescent="0.25">
      <c r="A76" s="10"/>
      <c r="B76" s="9"/>
      <c r="C76" s="6" t="str">
        <f>IF(B76="","",INDEX(KRI!$B$4:$B$11,MATCH(B76,KRI!$A$4:$A$11,0)))</f>
        <v/>
      </c>
      <c r="D76" s="9"/>
      <c r="E76" s="7" t="str">
        <f>IF(OR(B76="",D76=""),"",IF(OR(AND(INDEX(KRI!$D$4:$D$11,MATCH(B76,KRI!$A$4:$A$11,0))="≥",D76&gt;=INDEX(KRI!$E$4:$E$11,MATCH(B76,KRI!$A$4:$A$11,0))),AND(INDEX(KRI!$D$4:$D$11,MATCH(B76,KRI!$A$4:$A$11,0))="≤",D76&lt;=INDEX(KRI!$E$4:$E$11,MATCH(B76,KRI!$A$4:$A$11,0)))),"Alerta","En rango"))</f>
        <v/>
      </c>
      <c r="F76" s="11"/>
      <c r="G76" s="11"/>
      <c r="H76" s="9"/>
    </row>
    <row r="77" spans="1:8" ht="19.5" customHeight="1" x14ac:dyDescent="0.25">
      <c r="A77" s="15"/>
      <c r="B77" s="14"/>
      <c r="C77" s="12" t="str">
        <f>IF(B77="","",INDEX(KRI!$B$4:$B$11,MATCH(B77,KRI!$A$4:$A$11,0)))</f>
        <v/>
      </c>
      <c r="D77" s="14"/>
      <c r="E77" s="13" t="str">
        <f>IF(OR(B77="",D77=""),"",IF(OR(AND(INDEX(KRI!$D$4:$D$11,MATCH(B77,KRI!$A$4:$A$11,0))="≥",D77&gt;=INDEX(KRI!$E$4:$E$11,MATCH(B77,KRI!$A$4:$A$11,0))),AND(INDEX(KRI!$D$4:$D$11,MATCH(B77,KRI!$A$4:$A$11,0))="≤",D77&lt;=INDEX(KRI!$E$4:$E$11,MATCH(B77,KRI!$A$4:$A$11,0)))),"Alerta","En rango"))</f>
        <v/>
      </c>
      <c r="F77" s="16"/>
      <c r="G77" s="16"/>
      <c r="H77" s="14"/>
    </row>
    <row r="78" spans="1:8" ht="19.5" customHeight="1" x14ac:dyDescent="0.25">
      <c r="A78" s="10"/>
      <c r="B78" s="9"/>
      <c r="C78" s="6" t="str">
        <f>IF(B78="","",INDEX(KRI!$B$4:$B$11,MATCH(B78,KRI!$A$4:$A$11,0)))</f>
        <v/>
      </c>
      <c r="D78" s="9"/>
      <c r="E78" s="7" t="str">
        <f>IF(OR(B78="",D78=""),"",IF(OR(AND(INDEX(KRI!$D$4:$D$11,MATCH(B78,KRI!$A$4:$A$11,0))="≥",D78&gt;=INDEX(KRI!$E$4:$E$11,MATCH(B78,KRI!$A$4:$A$11,0))),AND(INDEX(KRI!$D$4:$D$11,MATCH(B78,KRI!$A$4:$A$11,0))="≤",D78&lt;=INDEX(KRI!$E$4:$E$11,MATCH(B78,KRI!$A$4:$A$11,0)))),"Alerta","En rango"))</f>
        <v/>
      </c>
      <c r="F78" s="11"/>
      <c r="G78" s="11"/>
      <c r="H78" s="9"/>
    </row>
    <row r="79" spans="1:8" ht="19.5" customHeight="1" x14ac:dyDescent="0.25">
      <c r="A79" s="15"/>
      <c r="B79" s="14"/>
      <c r="C79" s="12" t="str">
        <f>IF(B79="","",INDEX(KRI!$B$4:$B$11,MATCH(B79,KRI!$A$4:$A$11,0)))</f>
        <v/>
      </c>
      <c r="D79" s="14"/>
      <c r="E79" s="13" t="str">
        <f>IF(OR(B79="",D79=""),"",IF(OR(AND(INDEX(KRI!$D$4:$D$11,MATCH(B79,KRI!$A$4:$A$11,0))="≥",D79&gt;=INDEX(KRI!$E$4:$E$11,MATCH(B79,KRI!$A$4:$A$11,0))),AND(INDEX(KRI!$D$4:$D$11,MATCH(B79,KRI!$A$4:$A$11,0))="≤",D79&lt;=INDEX(KRI!$E$4:$E$11,MATCH(B79,KRI!$A$4:$A$11,0)))),"Alerta","En rango"))</f>
        <v/>
      </c>
      <c r="F79" s="16"/>
      <c r="G79" s="16"/>
      <c r="H79" s="14"/>
    </row>
    <row r="80" spans="1:8" ht="19.5" customHeight="1" x14ac:dyDescent="0.25">
      <c r="A80" s="10"/>
      <c r="B80" s="9"/>
      <c r="C80" s="6" t="str">
        <f>IF(B80="","",INDEX(KRI!$B$4:$B$11,MATCH(B80,KRI!$A$4:$A$11,0)))</f>
        <v/>
      </c>
      <c r="D80" s="9"/>
      <c r="E80" s="7" t="str">
        <f>IF(OR(B80="",D80=""),"",IF(OR(AND(INDEX(KRI!$D$4:$D$11,MATCH(B80,KRI!$A$4:$A$11,0))="≥",D80&gt;=INDEX(KRI!$E$4:$E$11,MATCH(B80,KRI!$A$4:$A$11,0))),AND(INDEX(KRI!$D$4:$D$11,MATCH(B80,KRI!$A$4:$A$11,0))="≤",D80&lt;=INDEX(KRI!$E$4:$E$11,MATCH(B80,KRI!$A$4:$A$11,0)))),"Alerta","En rango"))</f>
        <v/>
      </c>
      <c r="F80" s="11"/>
      <c r="G80" s="11"/>
      <c r="H80" s="9"/>
    </row>
    <row r="81" spans="1:8" ht="19.5" customHeight="1" x14ac:dyDescent="0.25">
      <c r="A81" s="15"/>
      <c r="B81" s="14"/>
      <c r="C81" s="12" t="str">
        <f>IF(B81="","",INDEX(KRI!$B$4:$B$11,MATCH(B81,KRI!$A$4:$A$11,0)))</f>
        <v/>
      </c>
      <c r="D81" s="14"/>
      <c r="E81" s="13" t="str">
        <f>IF(OR(B81="",D81=""),"",IF(OR(AND(INDEX(KRI!$D$4:$D$11,MATCH(B81,KRI!$A$4:$A$11,0))="≥",D81&gt;=INDEX(KRI!$E$4:$E$11,MATCH(B81,KRI!$A$4:$A$11,0))),AND(INDEX(KRI!$D$4:$D$11,MATCH(B81,KRI!$A$4:$A$11,0))="≤",D81&lt;=INDEX(KRI!$E$4:$E$11,MATCH(B81,KRI!$A$4:$A$11,0)))),"Alerta","En rango"))</f>
        <v/>
      </c>
      <c r="F81" s="16"/>
      <c r="G81" s="16"/>
      <c r="H81" s="14"/>
    </row>
    <row r="82" spans="1:8" ht="19.5" customHeight="1" x14ac:dyDescent="0.25">
      <c r="A82" s="10"/>
      <c r="B82" s="9"/>
      <c r="C82" s="6" t="str">
        <f>IF(B82="","",INDEX(KRI!$B$4:$B$11,MATCH(B82,KRI!$A$4:$A$11,0)))</f>
        <v/>
      </c>
      <c r="D82" s="9"/>
      <c r="E82" s="7" t="str">
        <f>IF(OR(B82="",D82=""),"",IF(OR(AND(INDEX(KRI!$D$4:$D$11,MATCH(B82,KRI!$A$4:$A$11,0))="≥",D82&gt;=INDEX(KRI!$E$4:$E$11,MATCH(B82,KRI!$A$4:$A$11,0))),AND(INDEX(KRI!$D$4:$D$11,MATCH(B82,KRI!$A$4:$A$11,0))="≤",D82&lt;=INDEX(KRI!$E$4:$E$11,MATCH(B82,KRI!$A$4:$A$11,0)))),"Alerta","En rango"))</f>
        <v/>
      </c>
      <c r="F82" s="11"/>
      <c r="G82" s="11"/>
      <c r="H82" s="9"/>
    </row>
    <row r="83" spans="1:8" ht="19.5" customHeight="1" x14ac:dyDescent="0.25">
      <c r="A83" s="15"/>
      <c r="B83" s="14"/>
      <c r="C83" s="12" t="str">
        <f>IF(B83="","",INDEX(KRI!$B$4:$B$11,MATCH(B83,KRI!$A$4:$A$11,0)))</f>
        <v/>
      </c>
      <c r="D83" s="14"/>
      <c r="E83" s="13" t="str">
        <f>IF(OR(B83="",D83=""),"",IF(OR(AND(INDEX(KRI!$D$4:$D$11,MATCH(B83,KRI!$A$4:$A$11,0))="≥",D83&gt;=INDEX(KRI!$E$4:$E$11,MATCH(B83,KRI!$A$4:$A$11,0))),AND(INDEX(KRI!$D$4:$D$11,MATCH(B83,KRI!$A$4:$A$11,0))="≤",D83&lt;=INDEX(KRI!$E$4:$E$11,MATCH(B83,KRI!$A$4:$A$11,0)))),"Alerta","En rango"))</f>
        <v/>
      </c>
      <c r="F83" s="16"/>
      <c r="G83" s="16"/>
      <c r="H83" s="14"/>
    </row>
    <row r="84" spans="1:8" ht="19.5" customHeight="1" x14ac:dyDescent="0.25">
      <c r="A84" s="10"/>
      <c r="B84" s="9"/>
      <c r="C84" s="6" t="str">
        <f>IF(B84="","",INDEX(KRI!$B$4:$B$11,MATCH(B84,KRI!$A$4:$A$11,0)))</f>
        <v/>
      </c>
      <c r="D84" s="9"/>
      <c r="E84" s="7" t="str">
        <f>IF(OR(B84="",D84=""),"",IF(OR(AND(INDEX(KRI!$D$4:$D$11,MATCH(B84,KRI!$A$4:$A$11,0))="≥",D84&gt;=INDEX(KRI!$E$4:$E$11,MATCH(B84,KRI!$A$4:$A$11,0))),AND(INDEX(KRI!$D$4:$D$11,MATCH(B84,KRI!$A$4:$A$11,0))="≤",D84&lt;=INDEX(KRI!$E$4:$E$11,MATCH(B84,KRI!$A$4:$A$11,0)))),"Alerta","En rango"))</f>
        <v/>
      </c>
      <c r="F84" s="11"/>
      <c r="G84" s="11"/>
      <c r="H84" s="9"/>
    </row>
    <row r="85" spans="1:8" ht="19.5" customHeight="1" x14ac:dyDescent="0.25">
      <c r="A85" s="15"/>
      <c r="B85" s="14"/>
      <c r="C85" s="12" t="str">
        <f>IF(B85="","",INDEX(KRI!$B$4:$B$11,MATCH(B85,KRI!$A$4:$A$11,0)))</f>
        <v/>
      </c>
      <c r="D85" s="14"/>
      <c r="E85" s="13" t="str">
        <f>IF(OR(B85="",D85=""),"",IF(OR(AND(INDEX(KRI!$D$4:$D$11,MATCH(B85,KRI!$A$4:$A$11,0))="≥",D85&gt;=INDEX(KRI!$E$4:$E$11,MATCH(B85,KRI!$A$4:$A$11,0))),AND(INDEX(KRI!$D$4:$D$11,MATCH(B85,KRI!$A$4:$A$11,0))="≤",D85&lt;=INDEX(KRI!$E$4:$E$11,MATCH(B85,KRI!$A$4:$A$11,0)))),"Alerta","En rango"))</f>
        <v/>
      </c>
      <c r="F85" s="16"/>
      <c r="G85" s="16"/>
      <c r="H85" s="14"/>
    </row>
    <row r="86" spans="1:8" ht="19.5" customHeight="1" x14ac:dyDescent="0.25">
      <c r="A86" s="10"/>
      <c r="B86" s="9"/>
      <c r="C86" s="6" t="str">
        <f>IF(B86="","",INDEX(KRI!$B$4:$B$11,MATCH(B86,KRI!$A$4:$A$11,0)))</f>
        <v/>
      </c>
      <c r="D86" s="9"/>
      <c r="E86" s="7" t="str">
        <f>IF(OR(B86="",D86=""),"",IF(OR(AND(INDEX(KRI!$D$4:$D$11,MATCH(B86,KRI!$A$4:$A$11,0))="≥",D86&gt;=INDEX(KRI!$E$4:$E$11,MATCH(B86,KRI!$A$4:$A$11,0))),AND(INDEX(KRI!$D$4:$D$11,MATCH(B86,KRI!$A$4:$A$11,0))="≤",D86&lt;=INDEX(KRI!$E$4:$E$11,MATCH(B86,KRI!$A$4:$A$11,0)))),"Alerta","En rango"))</f>
        <v/>
      </c>
      <c r="F86" s="11"/>
      <c r="G86" s="11"/>
      <c r="H86" s="9"/>
    </row>
    <row r="87" spans="1:8" ht="19.5" customHeight="1" x14ac:dyDescent="0.25">
      <c r="A87" s="15"/>
      <c r="B87" s="14"/>
      <c r="C87" s="12" t="str">
        <f>IF(B87="","",INDEX(KRI!$B$4:$B$11,MATCH(B87,KRI!$A$4:$A$11,0)))</f>
        <v/>
      </c>
      <c r="D87" s="14"/>
      <c r="E87" s="13" t="str">
        <f>IF(OR(B87="",D87=""),"",IF(OR(AND(INDEX(KRI!$D$4:$D$11,MATCH(B87,KRI!$A$4:$A$11,0))="≥",D87&gt;=INDEX(KRI!$E$4:$E$11,MATCH(B87,KRI!$A$4:$A$11,0))),AND(INDEX(KRI!$D$4:$D$11,MATCH(B87,KRI!$A$4:$A$11,0))="≤",D87&lt;=INDEX(KRI!$E$4:$E$11,MATCH(B87,KRI!$A$4:$A$11,0)))),"Alerta","En rango"))</f>
        <v/>
      </c>
      <c r="F87" s="16"/>
      <c r="G87" s="16"/>
      <c r="H87" s="14"/>
    </row>
    <row r="88" spans="1:8" ht="19.5" customHeight="1" x14ac:dyDescent="0.25">
      <c r="A88" s="10"/>
      <c r="B88" s="9"/>
      <c r="C88" s="6" t="str">
        <f>IF(B88="","",INDEX(KRI!$B$4:$B$11,MATCH(B88,KRI!$A$4:$A$11,0)))</f>
        <v/>
      </c>
      <c r="D88" s="9"/>
      <c r="E88" s="7" t="str">
        <f>IF(OR(B88="",D88=""),"",IF(OR(AND(INDEX(KRI!$D$4:$D$11,MATCH(B88,KRI!$A$4:$A$11,0))="≥",D88&gt;=INDEX(KRI!$E$4:$E$11,MATCH(B88,KRI!$A$4:$A$11,0))),AND(INDEX(KRI!$D$4:$D$11,MATCH(B88,KRI!$A$4:$A$11,0))="≤",D88&lt;=INDEX(KRI!$E$4:$E$11,MATCH(B88,KRI!$A$4:$A$11,0)))),"Alerta","En rango"))</f>
        <v/>
      </c>
      <c r="F88" s="11"/>
      <c r="G88" s="11"/>
      <c r="H88" s="9"/>
    </row>
    <row r="89" spans="1:8" ht="19.5" customHeight="1" x14ac:dyDescent="0.25">
      <c r="A89" s="15"/>
      <c r="B89" s="14"/>
      <c r="C89" s="12" t="str">
        <f>IF(B89="","",INDEX(KRI!$B$4:$B$11,MATCH(B89,KRI!$A$4:$A$11,0)))</f>
        <v/>
      </c>
      <c r="D89" s="14"/>
      <c r="E89" s="13" t="str">
        <f>IF(OR(B89="",D89=""),"",IF(OR(AND(INDEX(KRI!$D$4:$D$11,MATCH(B89,KRI!$A$4:$A$11,0))="≥",D89&gt;=INDEX(KRI!$E$4:$E$11,MATCH(B89,KRI!$A$4:$A$11,0))),AND(INDEX(KRI!$D$4:$D$11,MATCH(B89,KRI!$A$4:$A$11,0))="≤",D89&lt;=INDEX(KRI!$E$4:$E$11,MATCH(B89,KRI!$A$4:$A$11,0)))),"Alerta","En rango"))</f>
        <v/>
      </c>
      <c r="F89" s="16"/>
      <c r="G89" s="16"/>
      <c r="H89" s="14"/>
    </row>
    <row r="90" spans="1:8" ht="19.5" customHeight="1" x14ac:dyDescent="0.25">
      <c r="A90" s="10"/>
      <c r="B90" s="9"/>
      <c r="C90" s="6" t="str">
        <f>IF(B90="","",INDEX(KRI!$B$4:$B$11,MATCH(B90,KRI!$A$4:$A$11,0)))</f>
        <v/>
      </c>
      <c r="D90" s="9"/>
      <c r="E90" s="7" t="str">
        <f>IF(OR(B90="",D90=""),"",IF(OR(AND(INDEX(KRI!$D$4:$D$11,MATCH(B90,KRI!$A$4:$A$11,0))="≥",D90&gt;=INDEX(KRI!$E$4:$E$11,MATCH(B90,KRI!$A$4:$A$11,0))),AND(INDEX(KRI!$D$4:$D$11,MATCH(B90,KRI!$A$4:$A$11,0))="≤",D90&lt;=INDEX(KRI!$E$4:$E$11,MATCH(B90,KRI!$A$4:$A$11,0)))),"Alerta","En rango"))</f>
        <v/>
      </c>
      <c r="F90" s="11"/>
      <c r="G90" s="11"/>
      <c r="H90" s="9"/>
    </row>
    <row r="91" spans="1:8" ht="19.5" customHeight="1" x14ac:dyDescent="0.25">
      <c r="A91" s="15"/>
      <c r="B91" s="14"/>
      <c r="C91" s="12" t="str">
        <f>IF(B91="","",INDEX(KRI!$B$4:$B$11,MATCH(B91,KRI!$A$4:$A$11,0)))</f>
        <v/>
      </c>
      <c r="D91" s="14"/>
      <c r="E91" s="13" t="str">
        <f>IF(OR(B91="",D91=""),"",IF(OR(AND(INDEX(KRI!$D$4:$D$11,MATCH(B91,KRI!$A$4:$A$11,0))="≥",D91&gt;=INDEX(KRI!$E$4:$E$11,MATCH(B91,KRI!$A$4:$A$11,0))),AND(INDEX(KRI!$D$4:$D$11,MATCH(B91,KRI!$A$4:$A$11,0))="≤",D91&lt;=INDEX(KRI!$E$4:$E$11,MATCH(B91,KRI!$A$4:$A$11,0)))),"Alerta","En rango"))</f>
        <v/>
      </c>
      <c r="F91" s="16"/>
      <c r="G91" s="16"/>
      <c r="H91" s="14"/>
    </row>
    <row r="92" spans="1:8" ht="19.5" customHeight="1" x14ac:dyDescent="0.25">
      <c r="A92" s="10"/>
      <c r="B92" s="9"/>
      <c r="C92" s="6" t="str">
        <f>IF(B92="","",INDEX(KRI!$B$4:$B$11,MATCH(B92,KRI!$A$4:$A$11,0)))</f>
        <v/>
      </c>
      <c r="D92" s="9"/>
      <c r="E92" s="7" t="str">
        <f>IF(OR(B92="",D92=""),"",IF(OR(AND(INDEX(KRI!$D$4:$D$11,MATCH(B92,KRI!$A$4:$A$11,0))="≥",D92&gt;=INDEX(KRI!$E$4:$E$11,MATCH(B92,KRI!$A$4:$A$11,0))),AND(INDEX(KRI!$D$4:$D$11,MATCH(B92,KRI!$A$4:$A$11,0))="≤",D92&lt;=INDEX(KRI!$E$4:$E$11,MATCH(B92,KRI!$A$4:$A$11,0)))),"Alerta","En rango"))</f>
        <v/>
      </c>
      <c r="F92" s="11"/>
      <c r="G92" s="11"/>
      <c r="H92" s="9"/>
    </row>
    <row r="93" spans="1:8" ht="19.5" customHeight="1" x14ac:dyDescent="0.25">
      <c r="A93" s="15"/>
      <c r="B93" s="14"/>
      <c r="C93" s="12" t="str">
        <f>IF(B93="","",INDEX(KRI!$B$4:$B$11,MATCH(B93,KRI!$A$4:$A$11,0)))</f>
        <v/>
      </c>
      <c r="D93" s="14"/>
      <c r="E93" s="13" t="str">
        <f>IF(OR(B93="",D93=""),"",IF(OR(AND(INDEX(KRI!$D$4:$D$11,MATCH(B93,KRI!$A$4:$A$11,0))="≥",D93&gt;=INDEX(KRI!$E$4:$E$11,MATCH(B93,KRI!$A$4:$A$11,0))),AND(INDEX(KRI!$D$4:$D$11,MATCH(B93,KRI!$A$4:$A$11,0))="≤",D93&lt;=INDEX(KRI!$E$4:$E$11,MATCH(B93,KRI!$A$4:$A$11,0)))),"Alerta","En rango"))</f>
        <v/>
      </c>
      <c r="F93" s="16"/>
      <c r="G93" s="16"/>
      <c r="H93" s="14"/>
    </row>
    <row r="94" spans="1:8" ht="19.5" customHeight="1" x14ac:dyDescent="0.25">
      <c r="A94" s="10"/>
      <c r="B94" s="9"/>
      <c r="C94" s="6" t="str">
        <f>IF(B94="","",INDEX(KRI!$B$4:$B$11,MATCH(B94,KRI!$A$4:$A$11,0)))</f>
        <v/>
      </c>
      <c r="D94" s="9"/>
      <c r="E94" s="7" t="str">
        <f>IF(OR(B94="",D94=""),"",IF(OR(AND(INDEX(KRI!$D$4:$D$11,MATCH(B94,KRI!$A$4:$A$11,0))="≥",D94&gt;=INDEX(KRI!$E$4:$E$11,MATCH(B94,KRI!$A$4:$A$11,0))),AND(INDEX(KRI!$D$4:$D$11,MATCH(B94,KRI!$A$4:$A$11,0))="≤",D94&lt;=INDEX(KRI!$E$4:$E$11,MATCH(B94,KRI!$A$4:$A$11,0)))),"Alerta","En rango"))</f>
        <v/>
      </c>
      <c r="F94" s="11"/>
      <c r="G94" s="11"/>
      <c r="H94" s="9"/>
    </row>
    <row r="95" spans="1:8" ht="19.5" customHeight="1" x14ac:dyDescent="0.25">
      <c r="A95" s="15"/>
      <c r="B95" s="14"/>
      <c r="C95" s="12" t="str">
        <f>IF(B95="","",INDEX(KRI!$B$4:$B$11,MATCH(B95,KRI!$A$4:$A$11,0)))</f>
        <v/>
      </c>
      <c r="D95" s="14"/>
      <c r="E95" s="13" t="str">
        <f>IF(OR(B95="",D95=""),"",IF(OR(AND(INDEX(KRI!$D$4:$D$11,MATCH(B95,KRI!$A$4:$A$11,0))="≥",D95&gt;=INDEX(KRI!$E$4:$E$11,MATCH(B95,KRI!$A$4:$A$11,0))),AND(INDEX(KRI!$D$4:$D$11,MATCH(B95,KRI!$A$4:$A$11,0))="≤",D95&lt;=INDEX(KRI!$E$4:$E$11,MATCH(B95,KRI!$A$4:$A$11,0)))),"Alerta","En rango"))</f>
        <v/>
      </c>
      <c r="F95" s="16"/>
      <c r="G95" s="16"/>
      <c r="H95" s="14"/>
    </row>
    <row r="96" spans="1:8" ht="19.5" customHeight="1" x14ac:dyDescent="0.25">
      <c r="A96" s="10"/>
      <c r="B96" s="9"/>
      <c r="C96" s="6" t="str">
        <f>IF(B96="","",INDEX(KRI!$B$4:$B$11,MATCH(B96,KRI!$A$4:$A$11,0)))</f>
        <v/>
      </c>
      <c r="D96" s="9"/>
      <c r="E96" s="7" t="str">
        <f>IF(OR(B96="",D96=""),"",IF(OR(AND(INDEX(KRI!$D$4:$D$11,MATCH(B96,KRI!$A$4:$A$11,0))="≥",D96&gt;=INDEX(KRI!$E$4:$E$11,MATCH(B96,KRI!$A$4:$A$11,0))),AND(INDEX(KRI!$D$4:$D$11,MATCH(B96,KRI!$A$4:$A$11,0))="≤",D96&lt;=INDEX(KRI!$E$4:$E$11,MATCH(B96,KRI!$A$4:$A$11,0)))),"Alerta","En rango"))</f>
        <v/>
      </c>
      <c r="F96" s="11"/>
      <c r="G96" s="11"/>
      <c r="H96" s="9"/>
    </row>
    <row r="97" spans="1:8" ht="19.5" customHeight="1" x14ac:dyDescent="0.25">
      <c r="A97" s="15"/>
      <c r="B97" s="14"/>
      <c r="C97" s="12" t="str">
        <f>IF(B97="","",INDEX(KRI!$B$4:$B$11,MATCH(B97,KRI!$A$4:$A$11,0)))</f>
        <v/>
      </c>
      <c r="D97" s="14"/>
      <c r="E97" s="13" t="str">
        <f>IF(OR(B97="",D97=""),"",IF(OR(AND(INDEX(KRI!$D$4:$D$11,MATCH(B97,KRI!$A$4:$A$11,0))="≥",D97&gt;=INDEX(KRI!$E$4:$E$11,MATCH(B97,KRI!$A$4:$A$11,0))),AND(INDEX(KRI!$D$4:$D$11,MATCH(B97,KRI!$A$4:$A$11,0))="≤",D97&lt;=INDEX(KRI!$E$4:$E$11,MATCH(B97,KRI!$A$4:$A$11,0)))),"Alerta","En rango"))</f>
        <v/>
      </c>
      <c r="F97" s="16"/>
      <c r="G97" s="16"/>
      <c r="H97" s="14"/>
    </row>
    <row r="98" spans="1:8" ht="19.5" customHeight="1" x14ac:dyDescent="0.25">
      <c r="A98" s="10"/>
      <c r="B98" s="9"/>
      <c r="C98" s="6" t="str">
        <f>IF(B98="","",INDEX(KRI!$B$4:$B$11,MATCH(B98,KRI!$A$4:$A$11,0)))</f>
        <v/>
      </c>
      <c r="D98" s="9"/>
      <c r="E98" s="7" t="str">
        <f>IF(OR(B98="",D98=""),"",IF(OR(AND(INDEX(KRI!$D$4:$D$11,MATCH(B98,KRI!$A$4:$A$11,0))="≥",D98&gt;=INDEX(KRI!$E$4:$E$11,MATCH(B98,KRI!$A$4:$A$11,0))),AND(INDEX(KRI!$D$4:$D$11,MATCH(B98,KRI!$A$4:$A$11,0))="≤",D98&lt;=INDEX(KRI!$E$4:$E$11,MATCH(B98,KRI!$A$4:$A$11,0)))),"Alerta","En rango"))</f>
        <v/>
      </c>
      <c r="F98" s="11"/>
      <c r="G98" s="11"/>
      <c r="H98" s="9"/>
    </row>
    <row r="99" spans="1:8" ht="19.5" customHeight="1" x14ac:dyDescent="0.25">
      <c r="A99" s="15"/>
      <c r="B99" s="14"/>
      <c r="C99" s="12" t="str">
        <f>IF(B99="","",INDEX(KRI!$B$4:$B$11,MATCH(B99,KRI!$A$4:$A$11,0)))</f>
        <v/>
      </c>
      <c r="D99" s="14"/>
      <c r="E99" s="13" t="str">
        <f>IF(OR(B99="",D99=""),"",IF(OR(AND(INDEX(KRI!$D$4:$D$11,MATCH(B99,KRI!$A$4:$A$11,0))="≥",D99&gt;=INDEX(KRI!$E$4:$E$11,MATCH(B99,KRI!$A$4:$A$11,0))),AND(INDEX(KRI!$D$4:$D$11,MATCH(B99,KRI!$A$4:$A$11,0))="≤",D99&lt;=INDEX(KRI!$E$4:$E$11,MATCH(B99,KRI!$A$4:$A$11,0)))),"Alerta","En rango"))</f>
        <v/>
      </c>
      <c r="F99" s="16"/>
      <c r="G99" s="16"/>
      <c r="H99" s="14"/>
    </row>
    <row r="100" spans="1:8" ht="19.5" customHeight="1" x14ac:dyDescent="0.25">
      <c r="A100" s="10"/>
      <c r="B100" s="9"/>
      <c r="C100" s="6" t="str">
        <f>IF(B100="","",INDEX(KRI!$B$4:$B$11,MATCH(B100,KRI!$A$4:$A$11,0)))</f>
        <v/>
      </c>
      <c r="D100" s="9"/>
      <c r="E100" s="7" t="str">
        <f>IF(OR(B100="",D100=""),"",IF(OR(AND(INDEX(KRI!$D$4:$D$11,MATCH(B100,KRI!$A$4:$A$11,0))="≥",D100&gt;=INDEX(KRI!$E$4:$E$11,MATCH(B100,KRI!$A$4:$A$11,0))),AND(INDEX(KRI!$D$4:$D$11,MATCH(B100,KRI!$A$4:$A$11,0))="≤",D100&lt;=INDEX(KRI!$E$4:$E$11,MATCH(B100,KRI!$A$4:$A$11,0)))),"Alerta","En rango"))</f>
        <v/>
      </c>
      <c r="F100" s="11"/>
      <c r="G100" s="11"/>
      <c r="H100" s="9"/>
    </row>
    <row r="101" spans="1:8" ht="19.5" customHeight="1" x14ac:dyDescent="0.25">
      <c r="A101" s="15"/>
      <c r="B101" s="14"/>
      <c r="C101" s="12" t="str">
        <f>IF(B101="","",INDEX(KRI!$B$4:$B$11,MATCH(B101,KRI!$A$4:$A$11,0)))</f>
        <v/>
      </c>
      <c r="D101" s="14"/>
      <c r="E101" s="13" t="str">
        <f>IF(OR(B101="",D101=""),"",IF(OR(AND(INDEX(KRI!$D$4:$D$11,MATCH(B101,KRI!$A$4:$A$11,0))="≥",D101&gt;=INDEX(KRI!$E$4:$E$11,MATCH(B101,KRI!$A$4:$A$11,0))),AND(INDEX(KRI!$D$4:$D$11,MATCH(B101,KRI!$A$4:$A$11,0))="≤",D101&lt;=INDEX(KRI!$E$4:$E$11,MATCH(B101,KRI!$A$4:$A$11,0)))),"Alerta","En rango"))</f>
        <v/>
      </c>
      <c r="F101" s="16"/>
      <c r="G101" s="16"/>
      <c r="H101" s="14"/>
    </row>
    <row r="102" spans="1:8" ht="19.5" customHeight="1" x14ac:dyDescent="0.25">
      <c r="A102" s="10"/>
      <c r="B102" s="9"/>
      <c r="C102" s="6" t="str">
        <f>IF(B102="","",INDEX(KRI!$B$4:$B$11,MATCH(B102,KRI!$A$4:$A$11,0)))</f>
        <v/>
      </c>
      <c r="D102" s="9"/>
      <c r="E102" s="7" t="str">
        <f>IF(OR(B102="",D102=""),"",IF(OR(AND(INDEX(KRI!$D$4:$D$11,MATCH(B102,KRI!$A$4:$A$11,0))="≥",D102&gt;=INDEX(KRI!$E$4:$E$11,MATCH(B102,KRI!$A$4:$A$11,0))),AND(INDEX(KRI!$D$4:$D$11,MATCH(B102,KRI!$A$4:$A$11,0))="≤",D102&lt;=INDEX(KRI!$E$4:$E$11,MATCH(B102,KRI!$A$4:$A$11,0)))),"Alerta","En rango"))</f>
        <v/>
      </c>
      <c r="F102" s="11"/>
      <c r="G102" s="11"/>
      <c r="H102" s="9"/>
    </row>
    <row r="103" spans="1:8" ht="19.5" customHeight="1" x14ac:dyDescent="0.25">
      <c r="A103" s="15"/>
      <c r="B103" s="14"/>
      <c r="C103" s="12" t="str">
        <f>IF(B103="","",INDEX(KRI!$B$4:$B$11,MATCH(B103,KRI!$A$4:$A$11,0)))</f>
        <v/>
      </c>
      <c r="D103" s="14"/>
      <c r="E103" s="13" t="str">
        <f>IF(OR(B103="",D103=""),"",IF(OR(AND(INDEX(KRI!$D$4:$D$11,MATCH(B103,KRI!$A$4:$A$11,0))="≥",D103&gt;=INDEX(KRI!$E$4:$E$11,MATCH(B103,KRI!$A$4:$A$11,0))),AND(INDEX(KRI!$D$4:$D$11,MATCH(B103,KRI!$A$4:$A$11,0))="≤",D103&lt;=INDEX(KRI!$E$4:$E$11,MATCH(B103,KRI!$A$4:$A$11,0)))),"Alerta","En rango"))</f>
        <v/>
      </c>
      <c r="F103" s="16"/>
      <c r="G103" s="16"/>
      <c r="H103" s="14"/>
    </row>
    <row r="104" spans="1:8" ht="19.5" customHeight="1" x14ac:dyDescent="0.25">
      <c r="A104" s="10"/>
      <c r="B104" s="9"/>
      <c r="C104" s="6" t="str">
        <f>IF(B104="","",INDEX(KRI!$B$4:$B$11,MATCH(B104,KRI!$A$4:$A$11,0)))</f>
        <v/>
      </c>
      <c r="D104" s="9"/>
      <c r="E104" s="7" t="str">
        <f>IF(OR(B104="",D104=""),"",IF(OR(AND(INDEX(KRI!$D$4:$D$11,MATCH(B104,KRI!$A$4:$A$11,0))="≥",D104&gt;=INDEX(KRI!$E$4:$E$11,MATCH(B104,KRI!$A$4:$A$11,0))),AND(INDEX(KRI!$D$4:$D$11,MATCH(B104,KRI!$A$4:$A$11,0))="≤",D104&lt;=INDEX(KRI!$E$4:$E$11,MATCH(B104,KRI!$A$4:$A$11,0)))),"Alerta","En rango"))</f>
        <v/>
      </c>
      <c r="F104" s="11"/>
      <c r="G104" s="11"/>
      <c r="H104" s="9"/>
    </row>
    <row r="105" spans="1:8" ht="19.5" customHeight="1" x14ac:dyDescent="0.25">
      <c r="A105" s="15"/>
      <c r="B105" s="14"/>
      <c r="C105" s="12" t="str">
        <f>IF(B105="","",INDEX(KRI!$B$4:$B$11,MATCH(B105,KRI!$A$4:$A$11,0)))</f>
        <v/>
      </c>
      <c r="D105" s="14"/>
      <c r="E105" s="13" t="str">
        <f>IF(OR(B105="",D105=""),"",IF(OR(AND(INDEX(KRI!$D$4:$D$11,MATCH(B105,KRI!$A$4:$A$11,0))="≥",D105&gt;=INDEX(KRI!$E$4:$E$11,MATCH(B105,KRI!$A$4:$A$11,0))),AND(INDEX(KRI!$D$4:$D$11,MATCH(B105,KRI!$A$4:$A$11,0))="≤",D105&lt;=INDEX(KRI!$E$4:$E$11,MATCH(B105,KRI!$A$4:$A$11,0)))),"Alerta","En rango"))</f>
        <v/>
      </c>
      <c r="F105" s="16"/>
      <c r="G105" s="16"/>
      <c r="H105" s="14"/>
    </row>
    <row r="106" spans="1:8" ht="19.5" customHeight="1" x14ac:dyDescent="0.25">
      <c r="A106" s="10"/>
      <c r="B106" s="9"/>
      <c r="C106" s="6" t="str">
        <f>IF(B106="","",INDEX(KRI!$B$4:$B$11,MATCH(B106,KRI!$A$4:$A$11,0)))</f>
        <v/>
      </c>
      <c r="D106" s="9"/>
      <c r="E106" s="7" t="str">
        <f>IF(OR(B106="",D106=""),"",IF(OR(AND(INDEX(KRI!$D$4:$D$11,MATCH(B106,KRI!$A$4:$A$11,0))="≥",D106&gt;=INDEX(KRI!$E$4:$E$11,MATCH(B106,KRI!$A$4:$A$11,0))),AND(INDEX(KRI!$D$4:$D$11,MATCH(B106,KRI!$A$4:$A$11,0))="≤",D106&lt;=INDEX(KRI!$E$4:$E$11,MATCH(B106,KRI!$A$4:$A$11,0)))),"Alerta","En rango"))</f>
        <v/>
      </c>
      <c r="F106" s="11"/>
      <c r="G106" s="11"/>
      <c r="H106" s="9"/>
    </row>
    <row r="107" spans="1:8" ht="19.5" customHeight="1" x14ac:dyDescent="0.25">
      <c r="A107" s="15"/>
      <c r="B107" s="14"/>
      <c r="C107" s="12" t="str">
        <f>IF(B107="","",INDEX(KRI!$B$4:$B$11,MATCH(B107,KRI!$A$4:$A$11,0)))</f>
        <v/>
      </c>
      <c r="D107" s="14"/>
      <c r="E107" s="13" t="str">
        <f>IF(OR(B107="",D107=""),"",IF(OR(AND(INDEX(KRI!$D$4:$D$11,MATCH(B107,KRI!$A$4:$A$11,0))="≥",D107&gt;=INDEX(KRI!$E$4:$E$11,MATCH(B107,KRI!$A$4:$A$11,0))),AND(INDEX(KRI!$D$4:$D$11,MATCH(B107,KRI!$A$4:$A$11,0))="≤",D107&lt;=INDEX(KRI!$E$4:$E$11,MATCH(B107,KRI!$A$4:$A$11,0)))),"Alerta","En rango"))</f>
        <v/>
      </c>
      <c r="F107" s="16"/>
      <c r="G107" s="16"/>
      <c r="H107" s="14"/>
    </row>
    <row r="108" spans="1:8" ht="19.5" customHeight="1" x14ac:dyDescent="0.25">
      <c r="A108" s="10"/>
      <c r="B108" s="9"/>
      <c r="C108" s="6" t="str">
        <f>IF(B108="","",INDEX(KRI!$B$4:$B$11,MATCH(B108,KRI!$A$4:$A$11,0)))</f>
        <v/>
      </c>
      <c r="D108" s="9"/>
      <c r="E108" s="7" t="str">
        <f>IF(OR(B108="",D108=""),"",IF(OR(AND(INDEX(KRI!$D$4:$D$11,MATCH(B108,KRI!$A$4:$A$11,0))="≥",D108&gt;=INDEX(KRI!$E$4:$E$11,MATCH(B108,KRI!$A$4:$A$11,0))),AND(INDEX(KRI!$D$4:$D$11,MATCH(B108,KRI!$A$4:$A$11,0))="≤",D108&lt;=INDEX(KRI!$E$4:$E$11,MATCH(B108,KRI!$A$4:$A$11,0)))),"Alerta","En rango"))</f>
        <v/>
      </c>
      <c r="F108" s="11"/>
      <c r="G108" s="11"/>
      <c r="H108" s="9"/>
    </row>
    <row r="109" spans="1:8" ht="19.5" customHeight="1" x14ac:dyDescent="0.25">
      <c r="A109" s="15"/>
      <c r="B109" s="14"/>
      <c r="C109" s="12" t="str">
        <f>IF(B109="","",INDEX(KRI!$B$4:$B$11,MATCH(B109,KRI!$A$4:$A$11,0)))</f>
        <v/>
      </c>
      <c r="D109" s="14"/>
      <c r="E109" s="13" t="str">
        <f>IF(OR(B109="",D109=""),"",IF(OR(AND(INDEX(KRI!$D$4:$D$11,MATCH(B109,KRI!$A$4:$A$11,0))="≥",D109&gt;=INDEX(KRI!$E$4:$E$11,MATCH(B109,KRI!$A$4:$A$11,0))),AND(INDEX(KRI!$D$4:$D$11,MATCH(B109,KRI!$A$4:$A$11,0))="≤",D109&lt;=INDEX(KRI!$E$4:$E$11,MATCH(B109,KRI!$A$4:$A$11,0)))),"Alerta","En rango"))</f>
        <v/>
      </c>
      <c r="F109" s="16"/>
      <c r="G109" s="16"/>
      <c r="H109" s="14"/>
    </row>
    <row r="110" spans="1:8" ht="19.5" customHeight="1" x14ac:dyDescent="0.25">
      <c r="A110" s="10"/>
      <c r="B110" s="9"/>
      <c r="C110" s="6" t="str">
        <f>IF(B110="","",INDEX(KRI!$B$4:$B$11,MATCH(B110,KRI!$A$4:$A$11,0)))</f>
        <v/>
      </c>
      <c r="D110" s="9"/>
      <c r="E110" s="7" t="str">
        <f>IF(OR(B110="",D110=""),"",IF(OR(AND(INDEX(KRI!$D$4:$D$11,MATCH(B110,KRI!$A$4:$A$11,0))="≥",D110&gt;=INDEX(KRI!$E$4:$E$11,MATCH(B110,KRI!$A$4:$A$11,0))),AND(INDEX(KRI!$D$4:$D$11,MATCH(B110,KRI!$A$4:$A$11,0))="≤",D110&lt;=INDEX(KRI!$E$4:$E$11,MATCH(B110,KRI!$A$4:$A$11,0)))),"Alerta","En rango"))</f>
        <v/>
      </c>
      <c r="F110" s="11"/>
      <c r="G110" s="11"/>
      <c r="H110" s="9"/>
    </row>
    <row r="111" spans="1:8" ht="19.5" customHeight="1" x14ac:dyDescent="0.25">
      <c r="A111" s="15"/>
      <c r="B111" s="14"/>
      <c r="C111" s="12" t="str">
        <f>IF(B111="","",INDEX(KRI!$B$4:$B$11,MATCH(B111,KRI!$A$4:$A$11,0)))</f>
        <v/>
      </c>
      <c r="D111" s="14"/>
      <c r="E111" s="13" t="str">
        <f>IF(OR(B111="",D111=""),"",IF(OR(AND(INDEX(KRI!$D$4:$D$11,MATCH(B111,KRI!$A$4:$A$11,0))="≥",D111&gt;=INDEX(KRI!$E$4:$E$11,MATCH(B111,KRI!$A$4:$A$11,0))),AND(INDEX(KRI!$D$4:$D$11,MATCH(B111,KRI!$A$4:$A$11,0))="≤",D111&lt;=INDEX(KRI!$E$4:$E$11,MATCH(B111,KRI!$A$4:$A$11,0)))),"Alerta","En rango"))</f>
        <v/>
      </c>
      <c r="F111" s="16"/>
      <c r="G111" s="16"/>
      <c r="H111" s="14"/>
    </row>
    <row r="112" spans="1:8" ht="19.5" customHeight="1" x14ac:dyDescent="0.25">
      <c r="A112" s="10"/>
      <c r="B112" s="9"/>
      <c r="C112" s="6" t="str">
        <f>IF(B112="","",INDEX(KRI!$B$4:$B$11,MATCH(B112,KRI!$A$4:$A$11,0)))</f>
        <v/>
      </c>
      <c r="D112" s="9"/>
      <c r="E112" s="7" t="str">
        <f>IF(OR(B112="",D112=""),"",IF(OR(AND(INDEX(KRI!$D$4:$D$11,MATCH(B112,KRI!$A$4:$A$11,0))="≥",D112&gt;=INDEX(KRI!$E$4:$E$11,MATCH(B112,KRI!$A$4:$A$11,0))),AND(INDEX(KRI!$D$4:$D$11,MATCH(B112,KRI!$A$4:$A$11,0))="≤",D112&lt;=INDEX(KRI!$E$4:$E$11,MATCH(B112,KRI!$A$4:$A$11,0)))),"Alerta","En rango"))</f>
        <v/>
      </c>
      <c r="F112" s="11"/>
      <c r="G112" s="11"/>
      <c r="H112" s="9"/>
    </row>
    <row r="113" spans="1:8" ht="19.5" customHeight="1" x14ac:dyDescent="0.25">
      <c r="A113" s="15"/>
      <c r="B113" s="14"/>
      <c r="C113" s="12" t="str">
        <f>IF(B113="","",INDEX(KRI!$B$4:$B$11,MATCH(B113,KRI!$A$4:$A$11,0)))</f>
        <v/>
      </c>
      <c r="D113" s="14"/>
      <c r="E113" s="13" t="str">
        <f>IF(OR(B113="",D113=""),"",IF(OR(AND(INDEX(KRI!$D$4:$D$11,MATCH(B113,KRI!$A$4:$A$11,0))="≥",D113&gt;=INDEX(KRI!$E$4:$E$11,MATCH(B113,KRI!$A$4:$A$11,0))),AND(INDEX(KRI!$D$4:$D$11,MATCH(B113,KRI!$A$4:$A$11,0))="≤",D113&lt;=INDEX(KRI!$E$4:$E$11,MATCH(B113,KRI!$A$4:$A$11,0)))),"Alerta","En rango"))</f>
        <v/>
      </c>
      <c r="F113" s="16"/>
      <c r="G113" s="16"/>
      <c r="H113" s="14"/>
    </row>
    <row r="114" spans="1:8" ht="19.5" customHeight="1" x14ac:dyDescent="0.25">
      <c r="A114" s="10"/>
      <c r="B114" s="9"/>
      <c r="C114" s="6" t="str">
        <f>IF(B114="","",INDEX(KRI!$B$4:$B$11,MATCH(B114,KRI!$A$4:$A$11,0)))</f>
        <v/>
      </c>
      <c r="D114" s="9"/>
      <c r="E114" s="7" t="str">
        <f>IF(OR(B114="",D114=""),"",IF(OR(AND(INDEX(KRI!$D$4:$D$11,MATCH(B114,KRI!$A$4:$A$11,0))="≥",D114&gt;=INDEX(KRI!$E$4:$E$11,MATCH(B114,KRI!$A$4:$A$11,0))),AND(INDEX(KRI!$D$4:$D$11,MATCH(B114,KRI!$A$4:$A$11,0))="≤",D114&lt;=INDEX(KRI!$E$4:$E$11,MATCH(B114,KRI!$A$4:$A$11,0)))),"Alerta","En rango"))</f>
        <v/>
      </c>
      <c r="F114" s="11"/>
      <c r="G114" s="11"/>
      <c r="H114" s="9"/>
    </row>
    <row r="115" spans="1:8" ht="19.5" customHeight="1" x14ac:dyDescent="0.25">
      <c r="A115" s="15"/>
      <c r="B115" s="14"/>
      <c r="C115" s="12" t="str">
        <f>IF(B115="","",INDEX(KRI!$B$4:$B$11,MATCH(B115,KRI!$A$4:$A$11,0)))</f>
        <v/>
      </c>
      <c r="D115" s="14"/>
      <c r="E115" s="13" t="str">
        <f>IF(OR(B115="",D115=""),"",IF(OR(AND(INDEX(KRI!$D$4:$D$11,MATCH(B115,KRI!$A$4:$A$11,0))="≥",D115&gt;=INDEX(KRI!$E$4:$E$11,MATCH(B115,KRI!$A$4:$A$11,0))),AND(INDEX(KRI!$D$4:$D$11,MATCH(B115,KRI!$A$4:$A$11,0))="≤",D115&lt;=INDEX(KRI!$E$4:$E$11,MATCH(B115,KRI!$A$4:$A$11,0)))),"Alerta","En rango"))</f>
        <v/>
      </c>
      <c r="F115" s="16"/>
      <c r="G115" s="16"/>
      <c r="H115" s="14"/>
    </row>
    <row r="116" spans="1:8" ht="19.5" customHeight="1" x14ac:dyDescent="0.25">
      <c r="A116" s="10"/>
      <c r="B116" s="9"/>
      <c r="C116" s="6" t="str">
        <f>IF(B116="","",INDEX(KRI!$B$4:$B$11,MATCH(B116,KRI!$A$4:$A$11,0)))</f>
        <v/>
      </c>
      <c r="D116" s="9"/>
      <c r="E116" s="7" t="str">
        <f>IF(OR(B116="",D116=""),"",IF(OR(AND(INDEX(KRI!$D$4:$D$11,MATCH(B116,KRI!$A$4:$A$11,0))="≥",D116&gt;=INDEX(KRI!$E$4:$E$11,MATCH(B116,KRI!$A$4:$A$11,0))),AND(INDEX(KRI!$D$4:$D$11,MATCH(B116,KRI!$A$4:$A$11,0))="≤",D116&lt;=INDEX(KRI!$E$4:$E$11,MATCH(B116,KRI!$A$4:$A$11,0)))),"Alerta","En rango"))</f>
        <v/>
      </c>
      <c r="F116" s="11"/>
      <c r="G116" s="11"/>
      <c r="H116" s="9"/>
    </row>
    <row r="117" spans="1:8" ht="19.5" customHeight="1" x14ac:dyDescent="0.25">
      <c r="A117" s="15"/>
      <c r="B117" s="14"/>
      <c r="C117" s="12" t="str">
        <f>IF(B117="","",INDEX(KRI!$B$4:$B$11,MATCH(B117,KRI!$A$4:$A$11,0)))</f>
        <v/>
      </c>
      <c r="D117" s="14"/>
      <c r="E117" s="13" t="str">
        <f>IF(OR(B117="",D117=""),"",IF(OR(AND(INDEX(KRI!$D$4:$D$11,MATCH(B117,KRI!$A$4:$A$11,0))="≥",D117&gt;=INDEX(KRI!$E$4:$E$11,MATCH(B117,KRI!$A$4:$A$11,0))),AND(INDEX(KRI!$D$4:$D$11,MATCH(B117,KRI!$A$4:$A$11,0))="≤",D117&lt;=INDEX(KRI!$E$4:$E$11,MATCH(B117,KRI!$A$4:$A$11,0)))),"Alerta","En rango"))</f>
        <v/>
      </c>
      <c r="F117" s="16"/>
      <c r="G117" s="16"/>
      <c r="H117" s="14"/>
    </row>
    <row r="118" spans="1:8" ht="19.5" customHeight="1" x14ac:dyDescent="0.25">
      <c r="A118" s="10"/>
      <c r="B118" s="9"/>
      <c r="C118" s="6" t="str">
        <f>IF(B118="","",INDEX(KRI!$B$4:$B$11,MATCH(B118,KRI!$A$4:$A$11,0)))</f>
        <v/>
      </c>
      <c r="D118" s="9"/>
      <c r="E118" s="7" t="str">
        <f>IF(OR(B118="",D118=""),"",IF(OR(AND(INDEX(KRI!$D$4:$D$11,MATCH(B118,KRI!$A$4:$A$11,0))="≥",D118&gt;=INDEX(KRI!$E$4:$E$11,MATCH(B118,KRI!$A$4:$A$11,0))),AND(INDEX(KRI!$D$4:$D$11,MATCH(B118,KRI!$A$4:$A$11,0))="≤",D118&lt;=INDEX(KRI!$E$4:$E$11,MATCH(B118,KRI!$A$4:$A$11,0)))),"Alerta","En rango"))</f>
        <v/>
      </c>
      <c r="F118" s="11"/>
      <c r="G118" s="11"/>
      <c r="H118" s="9"/>
    </row>
    <row r="119" spans="1:8" ht="19.5" customHeight="1" x14ac:dyDescent="0.25">
      <c r="A119" s="15"/>
      <c r="B119" s="14"/>
      <c r="C119" s="12" t="str">
        <f>IF(B119="","",INDEX(KRI!$B$4:$B$11,MATCH(B119,KRI!$A$4:$A$11,0)))</f>
        <v/>
      </c>
      <c r="D119" s="14"/>
      <c r="E119" s="13" t="str">
        <f>IF(OR(B119="",D119=""),"",IF(OR(AND(INDEX(KRI!$D$4:$D$11,MATCH(B119,KRI!$A$4:$A$11,0))="≥",D119&gt;=INDEX(KRI!$E$4:$E$11,MATCH(B119,KRI!$A$4:$A$11,0))),AND(INDEX(KRI!$D$4:$D$11,MATCH(B119,KRI!$A$4:$A$11,0))="≤",D119&lt;=INDEX(KRI!$E$4:$E$11,MATCH(B119,KRI!$A$4:$A$11,0)))),"Alerta","En rango"))</f>
        <v/>
      </c>
      <c r="F119" s="16"/>
      <c r="G119" s="16"/>
      <c r="H119" s="14"/>
    </row>
    <row r="120" spans="1:8" ht="19.5" customHeight="1" x14ac:dyDescent="0.25">
      <c r="A120" s="10"/>
      <c r="B120" s="9"/>
      <c r="C120" s="6" t="str">
        <f>IF(B120="","",INDEX(KRI!$B$4:$B$11,MATCH(B120,KRI!$A$4:$A$11,0)))</f>
        <v/>
      </c>
      <c r="D120" s="9"/>
      <c r="E120" s="7" t="str">
        <f>IF(OR(B120="",D120=""),"",IF(OR(AND(INDEX(KRI!$D$4:$D$11,MATCH(B120,KRI!$A$4:$A$11,0))="≥",D120&gt;=INDEX(KRI!$E$4:$E$11,MATCH(B120,KRI!$A$4:$A$11,0))),AND(INDEX(KRI!$D$4:$D$11,MATCH(B120,KRI!$A$4:$A$11,0))="≤",D120&lt;=INDEX(KRI!$E$4:$E$11,MATCH(B120,KRI!$A$4:$A$11,0)))),"Alerta","En rango"))</f>
        <v/>
      </c>
      <c r="F120" s="11"/>
      <c r="G120" s="11"/>
      <c r="H120" s="9"/>
    </row>
    <row r="121" spans="1:8" ht="19.5" customHeight="1" x14ac:dyDescent="0.25">
      <c r="A121" s="15"/>
      <c r="B121" s="14"/>
      <c r="C121" s="12" t="str">
        <f>IF(B121="","",INDEX(KRI!$B$4:$B$11,MATCH(B121,KRI!$A$4:$A$11,0)))</f>
        <v/>
      </c>
      <c r="D121" s="14"/>
      <c r="E121" s="13" t="str">
        <f>IF(OR(B121="",D121=""),"",IF(OR(AND(INDEX(KRI!$D$4:$D$11,MATCH(B121,KRI!$A$4:$A$11,0))="≥",D121&gt;=INDEX(KRI!$E$4:$E$11,MATCH(B121,KRI!$A$4:$A$11,0))),AND(INDEX(KRI!$D$4:$D$11,MATCH(B121,KRI!$A$4:$A$11,0))="≤",D121&lt;=INDEX(KRI!$E$4:$E$11,MATCH(B121,KRI!$A$4:$A$11,0)))),"Alerta","En rango"))</f>
        <v/>
      </c>
      <c r="F121" s="16"/>
      <c r="G121" s="16"/>
      <c r="H121" s="14"/>
    </row>
    <row r="122" spans="1:8" ht="19.5" customHeight="1" x14ac:dyDescent="0.25">
      <c r="A122" s="10"/>
      <c r="B122" s="9"/>
      <c r="C122" s="6" t="str">
        <f>IF(B122="","",INDEX(KRI!$B$4:$B$11,MATCH(B122,KRI!$A$4:$A$11,0)))</f>
        <v/>
      </c>
      <c r="D122" s="9"/>
      <c r="E122" s="7" t="str">
        <f>IF(OR(B122="",D122=""),"",IF(OR(AND(INDEX(KRI!$D$4:$D$11,MATCH(B122,KRI!$A$4:$A$11,0))="≥",D122&gt;=INDEX(KRI!$E$4:$E$11,MATCH(B122,KRI!$A$4:$A$11,0))),AND(INDEX(KRI!$D$4:$D$11,MATCH(B122,KRI!$A$4:$A$11,0))="≤",D122&lt;=INDEX(KRI!$E$4:$E$11,MATCH(B122,KRI!$A$4:$A$11,0)))),"Alerta","En rango"))</f>
        <v/>
      </c>
      <c r="F122" s="11"/>
      <c r="G122" s="11"/>
      <c r="H122" s="9"/>
    </row>
    <row r="123" spans="1:8" ht="19.5" customHeight="1" x14ac:dyDescent="0.25">
      <c r="A123" s="15"/>
      <c r="B123" s="14"/>
      <c r="C123" s="12" t="str">
        <f>IF(B123="","",INDEX(KRI!$B$4:$B$11,MATCH(B123,KRI!$A$4:$A$11,0)))</f>
        <v/>
      </c>
      <c r="D123" s="14"/>
      <c r="E123" s="13" t="str">
        <f>IF(OR(B123="",D123=""),"",IF(OR(AND(INDEX(KRI!$D$4:$D$11,MATCH(B123,KRI!$A$4:$A$11,0))="≥",D123&gt;=INDEX(KRI!$E$4:$E$11,MATCH(B123,KRI!$A$4:$A$11,0))),AND(INDEX(KRI!$D$4:$D$11,MATCH(B123,KRI!$A$4:$A$11,0))="≤",D123&lt;=INDEX(KRI!$E$4:$E$11,MATCH(B123,KRI!$A$4:$A$11,0)))),"Alerta","En rango"))</f>
        <v/>
      </c>
      <c r="F123" s="16"/>
      <c r="G123" s="16"/>
      <c r="H123" s="14"/>
    </row>
    <row r="124" spans="1:8" ht="19.5" customHeight="1" x14ac:dyDescent="0.25">
      <c r="A124" s="10"/>
      <c r="B124" s="9"/>
      <c r="C124" s="6" t="str">
        <f>IF(B124="","",INDEX(KRI!$B$4:$B$11,MATCH(B124,KRI!$A$4:$A$11,0)))</f>
        <v/>
      </c>
      <c r="D124" s="9"/>
      <c r="E124" s="7" t="str">
        <f>IF(OR(B124="",D124=""),"",IF(OR(AND(INDEX(KRI!$D$4:$D$11,MATCH(B124,KRI!$A$4:$A$11,0))="≥",D124&gt;=INDEX(KRI!$E$4:$E$11,MATCH(B124,KRI!$A$4:$A$11,0))),AND(INDEX(KRI!$D$4:$D$11,MATCH(B124,KRI!$A$4:$A$11,0))="≤",D124&lt;=INDEX(KRI!$E$4:$E$11,MATCH(B124,KRI!$A$4:$A$11,0)))),"Alerta","En rango"))</f>
        <v/>
      </c>
      <c r="F124" s="11"/>
      <c r="G124" s="11"/>
      <c r="H124" s="9"/>
    </row>
    <row r="125" spans="1:8" ht="19.5" customHeight="1" x14ac:dyDescent="0.25">
      <c r="A125" s="15"/>
      <c r="B125" s="14"/>
      <c r="C125" s="12" t="str">
        <f>IF(B125="","",INDEX(KRI!$B$4:$B$11,MATCH(B125,KRI!$A$4:$A$11,0)))</f>
        <v/>
      </c>
      <c r="D125" s="14"/>
      <c r="E125" s="13" t="str">
        <f>IF(OR(B125="",D125=""),"",IF(OR(AND(INDEX(KRI!$D$4:$D$11,MATCH(B125,KRI!$A$4:$A$11,0))="≥",D125&gt;=INDEX(KRI!$E$4:$E$11,MATCH(B125,KRI!$A$4:$A$11,0))),AND(INDEX(KRI!$D$4:$D$11,MATCH(B125,KRI!$A$4:$A$11,0))="≤",D125&lt;=INDEX(KRI!$E$4:$E$11,MATCH(B125,KRI!$A$4:$A$11,0)))),"Alerta","En rango"))</f>
        <v/>
      </c>
      <c r="F125" s="16"/>
      <c r="G125" s="16"/>
      <c r="H125" s="14"/>
    </row>
    <row r="126" spans="1:8" ht="19.5" customHeight="1" x14ac:dyDescent="0.25">
      <c r="A126" s="10"/>
      <c r="B126" s="9"/>
      <c r="C126" s="6" t="str">
        <f>IF(B126="","",INDEX(KRI!$B$4:$B$11,MATCH(B126,KRI!$A$4:$A$11,0)))</f>
        <v/>
      </c>
      <c r="D126" s="9"/>
      <c r="E126" s="7" t="str">
        <f>IF(OR(B126="",D126=""),"",IF(OR(AND(INDEX(KRI!$D$4:$D$11,MATCH(B126,KRI!$A$4:$A$11,0))="≥",D126&gt;=INDEX(KRI!$E$4:$E$11,MATCH(B126,KRI!$A$4:$A$11,0))),AND(INDEX(KRI!$D$4:$D$11,MATCH(B126,KRI!$A$4:$A$11,0))="≤",D126&lt;=INDEX(KRI!$E$4:$E$11,MATCH(B126,KRI!$A$4:$A$11,0)))),"Alerta","En rango"))</f>
        <v/>
      </c>
      <c r="F126" s="11"/>
      <c r="G126" s="11"/>
      <c r="H126" s="9"/>
    </row>
    <row r="127" spans="1:8" ht="19.5" customHeight="1" x14ac:dyDescent="0.25">
      <c r="A127" s="15"/>
      <c r="B127" s="14"/>
      <c r="C127" s="12" t="str">
        <f>IF(B127="","",INDEX(KRI!$B$4:$B$11,MATCH(B127,KRI!$A$4:$A$11,0)))</f>
        <v/>
      </c>
      <c r="D127" s="14"/>
      <c r="E127" s="13" t="str">
        <f>IF(OR(B127="",D127=""),"",IF(OR(AND(INDEX(KRI!$D$4:$D$11,MATCH(B127,KRI!$A$4:$A$11,0))="≥",D127&gt;=INDEX(KRI!$E$4:$E$11,MATCH(B127,KRI!$A$4:$A$11,0))),AND(INDEX(KRI!$D$4:$D$11,MATCH(B127,KRI!$A$4:$A$11,0))="≤",D127&lt;=INDEX(KRI!$E$4:$E$11,MATCH(B127,KRI!$A$4:$A$11,0)))),"Alerta","En rango"))</f>
        <v/>
      </c>
      <c r="F127" s="16"/>
      <c r="G127" s="16"/>
      <c r="H127" s="14"/>
    </row>
    <row r="128" spans="1:8" ht="19.5" customHeight="1" x14ac:dyDescent="0.25">
      <c r="A128" s="10"/>
      <c r="B128" s="9"/>
      <c r="C128" s="6" t="str">
        <f>IF(B128="","",INDEX(KRI!$B$4:$B$11,MATCH(B128,KRI!$A$4:$A$11,0)))</f>
        <v/>
      </c>
      <c r="D128" s="9"/>
      <c r="E128" s="7" t="str">
        <f>IF(OR(B128="",D128=""),"",IF(OR(AND(INDEX(KRI!$D$4:$D$11,MATCH(B128,KRI!$A$4:$A$11,0))="≥",D128&gt;=INDEX(KRI!$E$4:$E$11,MATCH(B128,KRI!$A$4:$A$11,0))),AND(INDEX(KRI!$D$4:$D$11,MATCH(B128,KRI!$A$4:$A$11,0))="≤",D128&lt;=INDEX(KRI!$E$4:$E$11,MATCH(B128,KRI!$A$4:$A$11,0)))),"Alerta","En rango"))</f>
        <v/>
      </c>
      <c r="F128" s="11"/>
      <c r="G128" s="11"/>
      <c r="H128" s="9"/>
    </row>
    <row r="129" spans="1:8" ht="19.5" customHeight="1" x14ac:dyDescent="0.25">
      <c r="A129" s="15"/>
      <c r="B129" s="14"/>
      <c r="C129" s="12" t="str">
        <f>IF(B129="","",INDEX(KRI!$B$4:$B$11,MATCH(B129,KRI!$A$4:$A$11,0)))</f>
        <v/>
      </c>
      <c r="D129" s="14"/>
      <c r="E129" s="13" t="str">
        <f>IF(OR(B129="",D129=""),"",IF(OR(AND(INDEX(KRI!$D$4:$D$11,MATCH(B129,KRI!$A$4:$A$11,0))="≥",D129&gt;=INDEX(KRI!$E$4:$E$11,MATCH(B129,KRI!$A$4:$A$11,0))),AND(INDEX(KRI!$D$4:$D$11,MATCH(B129,KRI!$A$4:$A$11,0))="≤",D129&lt;=INDEX(KRI!$E$4:$E$11,MATCH(B129,KRI!$A$4:$A$11,0)))),"Alerta","En rango"))</f>
        <v/>
      </c>
      <c r="F129" s="16"/>
      <c r="G129" s="16"/>
      <c r="H129" s="14"/>
    </row>
    <row r="130" spans="1:8" ht="19.5" customHeight="1" x14ac:dyDescent="0.25">
      <c r="A130" s="10"/>
      <c r="B130" s="9"/>
      <c r="C130" s="6" t="str">
        <f>IF(B130="","",INDEX(KRI!$B$4:$B$11,MATCH(B130,KRI!$A$4:$A$11,0)))</f>
        <v/>
      </c>
      <c r="D130" s="9"/>
      <c r="E130" s="7" t="str">
        <f>IF(OR(B130="",D130=""),"",IF(OR(AND(INDEX(KRI!$D$4:$D$11,MATCH(B130,KRI!$A$4:$A$11,0))="≥",D130&gt;=INDEX(KRI!$E$4:$E$11,MATCH(B130,KRI!$A$4:$A$11,0))),AND(INDEX(KRI!$D$4:$D$11,MATCH(B130,KRI!$A$4:$A$11,0))="≤",D130&lt;=INDEX(KRI!$E$4:$E$11,MATCH(B130,KRI!$A$4:$A$11,0)))),"Alerta","En rango"))</f>
        <v/>
      </c>
      <c r="F130" s="11"/>
      <c r="G130" s="11"/>
      <c r="H130" s="9"/>
    </row>
    <row r="131" spans="1:8" ht="19.5" customHeight="1" x14ac:dyDescent="0.25">
      <c r="A131" s="15"/>
      <c r="B131" s="14"/>
      <c r="C131" s="12" t="str">
        <f>IF(B131="","",INDEX(KRI!$B$4:$B$11,MATCH(B131,KRI!$A$4:$A$11,0)))</f>
        <v/>
      </c>
      <c r="D131" s="14"/>
      <c r="E131" s="13" t="str">
        <f>IF(OR(B131="",D131=""),"",IF(OR(AND(INDEX(KRI!$D$4:$D$11,MATCH(B131,KRI!$A$4:$A$11,0))="≥",D131&gt;=INDEX(KRI!$E$4:$E$11,MATCH(B131,KRI!$A$4:$A$11,0))),AND(INDEX(KRI!$D$4:$D$11,MATCH(B131,KRI!$A$4:$A$11,0))="≤",D131&lt;=INDEX(KRI!$E$4:$E$11,MATCH(B131,KRI!$A$4:$A$11,0)))),"Alerta","En rango"))</f>
        <v/>
      </c>
      <c r="F131" s="16"/>
      <c r="G131" s="16"/>
      <c r="H131" s="14"/>
    </row>
    <row r="132" spans="1:8" ht="19.5" customHeight="1" x14ac:dyDescent="0.25">
      <c r="A132" s="10"/>
      <c r="B132" s="9"/>
      <c r="C132" s="6" t="str">
        <f>IF(B132="","",INDEX(KRI!$B$4:$B$11,MATCH(B132,KRI!$A$4:$A$11,0)))</f>
        <v/>
      </c>
      <c r="D132" s="9"/>
      <c r="E132" s="7" t="str">
        <f>IF(OR(B132="",D132=""),"",IF(OR(AND(INDEX(KRI!$D$4:$D$11,MATCH(B132,KRI!$A$4:$A$11,0))="≥",D132&gt;=INDEX(KRI!$E$4:$E$11,MATCH(B132,KRI!$A$4:$A$11,0))),AND(INDEX(KRI!$D$4:$D$11,MATCH(B132,KRI!$A$4:$A$11,0))="≤",D132&lt;=INDEX(KRI!$E$4:$E$11,MATCH(B132,KRI!$A$4:$A$11,0)))),"Alerta","En rango"))</f>
        <v/>
      </c>
      <c r="F132" s="11"/>
      <c r="G132" s="11"/>
      <c r="H132" s="9"/>
    </row>
    <row r="133" spans="1:8" ht="19.5" customHeight="1" x14ac:dyDescent="0.25">
      <c r="A133" s="15"/>
      <c r="B133" s="14"/>
      <c r="C133" s="12" t="str">
        <f>IF(B133="","",INDEX(KRI!$B$4:$B$11,MATCH(B133,KRI!$A$4:$A$11,0)))</f>
        <v/>
      </c>
      <c r="D133" s="14"/>
      <c r="E133" s="13" t="str">
        <f>IF(OR(B133="",D133=""),"",IF(OR(AND(INDEX(KRI!$D$4:$D$11,MATCH(B133,KRI!$A$4:$A$11,0))="≥",D133&gt;=INDEX(KRI!$E$4:$E$11,MATCH(B133,KRI!$A$4:$A$11,0))),AND(INDEX(KRI!$D$4:$D$11,MATCH(B133,KRI!$A$4:$A$11,0))="≤",D133&lt;=INDEX(KRI!$E$4:$E$11,MATCH(B133,KRI!$A$4:$A$11,0)))),"Alerta","En rango"))</f>
        <v/>
      </c>
      <c r="F133" s="16"/>
      <c r="G133" s="16"/>
      <c r="H133" s="14"/>
    </row>
    <row r="134" spans="1:8" ht="19.5" customHeight="1" x14ac:dyDescent="0.25">
      <c r="A134" s="10"/>
      <c r="B134" s="9"/>
      <c r="C134" s="6" t="str">
        <f>IF(B134="","",INDEX(KRI!$B$4:$B$11,MATCH(B134,KRI!$A$4:$A$11,0)))</f>
        <v/>
      </c>
      <c r="D134" s="9"/>
      <c r="E134" s="7" t="str">
        <f>IF(OR(B134="",D134=""),"",IF(OR(AND(INDEX(KRI!$D$4:$D$11,MATCH(B134,KRI!$A$4:$A$11,0))="≥",D134&gt;=INDEX(KRI!$E$4:$E$11,MATCH(B134,KRI!$A$4:$A$11,0))),AND(INDEX(KRI!$D$4:$D$11,MATCH(B134,KRI!$A$4:$A$11,0))="≤",D134&lt;=INDEX(KRI!$E$4:$E$11,MATCH(B134,KRI!$A$4:$A$11,0)))),"Alerta","En rango"))</f>
        <v/>
      </c>
      <c r="F134" s="11"/>
      <c r="G134" s="11"/>
      <c r="H134" s="9"/>
    </row>
    <row r="135" spans="1:8" ht="19.5" customHeight="1" x14ac:dyDescent="0.25">
      <c r="A135" s="15"/>
      <c r="B135" s="14"/>
      <c r="C135" s="12" t="str">
        <f>IF(B135="","",INDEX(KRI!$B$4:$B$11,MATCH(B135,KRI!$A$4:$A$11,0)))</f>
        <v/>
      </c>
      <c r="D135" s="14"/>
      <c r="E135" s="13" t="str">
        <f>IF(OR(B135="",D135=""),"",IF(OR(AND(INDEX(KRI!$D$4:$D$11,MATCH(B135,KRI!$A$4:$A$11,0))="≥",D135&gt;=INDEX(KRI!$E$4:$E$11,MATCH(B135,KRI!$A$4:$A$11,0))),AND(INDEX(KRI!$D$4:$D$11,MATCH(B135,KRI!$A$4:$A$11,0))="≤",D135&lt;=INDEX(KRI!$E$4:$E$11,MATCH(B135,KRI!$A$4:$A$11,0)))),"Alerta","En rango"))</f>
        <v/>
      </c>
      <c r="F135" s="16"/>
      <c r="G135" s="16"/>
      <c r="H135" s="14"/>
    </row>
    <row r="136" spans="1:8" ht="19.5" customHeight="1" x14ac:dyDescent="0.25">
      <c r="A136" s="10"/>
      <c r="B136" s="9"/>
      <c r="C136" s="6" t="str">
        <f>IF(B136="","",INDEX(KRI!$B$4:$B$11,MATCH(B136,KRI!$A$4:$A$11,0)))</f>
        <v/>
      </c>
      <c r="D136" s="9"/>
      <c r="E136" s="7" t="str">
        <f>IF(OR(B136="",D136=""),"",IF(OR(AND(INDEX(KRI!$D$4:$D$11,MATCH(B136,KRI!$A$4:$A$11,0))="≥",D136&gt;=INDEX(KRI!$E$4:$E$11,MATCH(B136,KRI!$A$4:$A$11,0))),AND(INDEX(KRI!$D$4:$D$11,MATCH(B136,KRI!$A$4:$A$11,0))="≤",D136&lt;=INDEX(KRI!$E$4:$E$11,MATCH(B136,KRI!$A$4:$A$11,0)))),"Alerta","En rango"))</f>
        <v/>
      </c>
      <c r="F136" s="11"/>
      <c r="G136" s="11"/>
      <c r="H136" s="9"/>
    </row>
    <row r="137" spans="1:8" ht="19.5" customHeight="1" x14ac:dyDescent="0.25">
      <c r="A137" s="15"/>
      <c r="B137" s="14"/>
      <c r="C137" s="12" t="str">
        <f>IF(B137="","",INDEX(KRI!$B$4:$B$11,MATCH(B137,KRI!$A$4:$A$11,0)))</f>
        <v/>
      </c>
      <c r="D137" s="14"/>
      <c r="E137" s="13" t="str">
        <f>IF(OR(B137="",D137=""),"",IF(OR(AND(INDEX(KRI!$D$4:$D$11,MATCH(B137,KRI!$A$4:$A$11,0))="≥",D137&gt;=INDEX(KRI!$E$4:$E$11,MATCH(B137,KRI!$A$4:$A$11,0))),AND(INDEX(KRI!$D$4:$D$11,MATCH(B137,KRI!$A$4:$A$11,0))="≤",D137&lt;=INDEX(KRI!$E$4:$E$11,MATCH(B137,KRI!$A$4:$A$11,0)))),"Alerta","En rango"))</f>
        <v/>
      </c>
      <c r="F137" s="16"/>
      <c r="G137" s="16"/>
      <c r="H137" s="14"/>
    </row>
    <row r="138" spans="1:8" ht="19.5" customHeight="1" x14ac:dyDescent="0.25">
      <c r="A138" s="10"/>
      <c r="B138" s="9"/>
      <c r="C138" s="6" t="str">
        <f>IF(B138="","",INDEX(KRI!$B$4:$B$11,MATCH(B138,KRI!$A$4:$A$11,0)))</f>
        <v/>
      </c>
      <c r="D138" s="9"/>
      <c r="E138" s="7" t="str">
        <f>IF(OR(B138="",D138=""),"",IF(OR(AND(INDEX(KRI!$D$4:$D$11,MATCH(B138,KRI!$A$4:$A$11,0))="≥",D138&gt;=INDEX(KRI!$E$4:$E$11,MATCH(B138,KRI!$A$4:$A$11,0))),AND(INDEX(KRI!$D$4:$D$11,MATCH(B138,KRI!$A$4:$A$11,0))="≤",D138&lt;=INDEX(KRI!$E$4:$E$11,MATCH(B138,KRI!$A$4:$A$11,0)))),"Alerta","En rango"))</f>
        <v/>
      </c>
      <c r="F138" s="11"/>
      <c r="G138" s="11"/>
      <c r="H138" s="9"/>
    </row>
    <row r="139" spans="1:8" ht="19.5" customHeight="1" x14ac:dyDescent="0.25">
      <c r="A139" s="15"/>
      <c r="B139" s="14"/>
      <c r="C139" s="12" t="str">
        <f>IF(B139="","",INDEX(KRI!$B$4:$B$11,MATCH(B139,KRI!$A$4:$A$11,0)))</f>
        <v/>
      </c>
      <c r="D139" s="14"/>
      <c r="E139" s="13" t="str">
        <f>IF(OR(B139="",D139=""),"",IF(OR(AND(INDEX(KRI!$D$4:$D$11,MATCH(B139,KRI!$A$4:$A$11,0))="≥",D139&gt;=INDEX(KRI!$E$4:$E$11,MATCH(B139,KRI!$A$4:$A$11,0))),AND(INDEX(KRI!$D$4:$D$11,MATCH(B139,KRI!$A$4:$A$11,0))="≤",D139&lt;=INDEX(KRI!$E$4:$E$11,MATCH(B139,KRI!$A$4:$A$11,0)))),"Alerta","En rango"))</f>
        <v/>
      </c>
      <c r="F139" s="16"/>
      <c r="G139" s="16"/>
      <c r="H139" s="14"/>
    </row>
    <row r="140" spans="1:8" ht="19.5" customHeight="1" x14ac:dyDescent="0.25">
      <c r="A140" s="10"/>
      <c r="B140" s="9"/>
      <c r="C140" s="6" t="str">
        <f>IF(B140="","",INDEX(KRI!$B$4:$B$11,MATCH(B140,KRI!$A$4:$A$11,0)))</f>
        <v/>
      </c>
      <c r="D140" s="9"/>
      <c r="E140" s="7" t="str">
        <f>IF(OR(B140="",D140=""),"",IF(OR(AND(INDEX(KRI!$D$4:$D$11,MATCH(B140,KRI!$A$4:$A$11,0))="≥",D140&gt;=INDEX(KRI!$E$4:$E$11,MATCH(B140,KRI!$A$4:$A$11,0))),AND(INDEX(KRI!$D$4:$D$11,MATCH(B140,KRI!$A$4:$A$11,0))="≤",D140&lt;=INDEX(KRI!$E$4:$E$11,MATCH(B140,KRI!$A$4:$A$11,0)))),"Alerta","En rango"))</f>
        <v/>
      </c>
      <c r="F140" s="11"/>
      <c r="G140" s="11"/>
      <c r="H140" s="9"/>
    </row>
    <row r="141" spans="1:8" ht="19.5" customHeight="1" x14ac:dyDescent="0.25">
      <c r="A141" s="15"/>
      <c r="B141" s="14"/>
      <c r="C141" s="12" t="str">
        <f>IF(B141="","",INDEX(KRI!$B$4:$B$11,MATCH(B141,KRI!$A$4:$A$11,0)))</f>
        <v/>
      </c>
      <c r="D141" s="14"/>
      <c r="E141" s="13" t="str">
        <f>IF(OR(B141="",D141=""),"",IF(OR(AND(INDEX(KRI!$D$4:$D$11,MATCH(B141,KRI!$A$4:$A$11,0))="≥",D141&gt;=INDEX(KRI!$E$4:$E$11,MATCH(B141,KRI!$A$4:$A$11,0))),AND(INDEX(KRI!$D$4:$D$11,MATCH(B141,KRI!$A$4:$A$11,0))="≤",D141&lt;=INDEX(KRI!$E$4:$E$11,MATCH(B141,KRI!$A$4:$A$11,0)))),"Alerta","En rango"))</f>
        <v/>
      </c>
      <c r="F141" s="16"/>
      <c r="G141" s="16"/>
      <c r="H141" s="14"/>
    </row>
    <row r="142" spans="1:8" ht="19.5" customHeight="1" x14ac:dyDescent="0.25">
      <c r="A142" s="10"/>
      <c r="B142" s="9"/>
      <c r="C142" s="6" t="str">
        <f>IF(B142="","",INDEX(KRI!$B$4:$B$11,MATCH(B142,KRI!$A$4:$A$11,0)))</f>
        <v/>
      </c>
      <c r="D142" s="9"/>
      <c r="E142" s="7" t="str">
        <f>IF(OR(B142="",D142=""),"",IF(OR(AND(INDEX(KRI!$D$4:$D$11,MATCH(B142,KRI!$A$4:$A$11,0))="≥",D142&gt;=INDEX(KRI!$E$4:$E$11,MATCH(B142,KRI!$A$4:$A$11,0))),AND(INDEX(KRI!$D$4:$D$11,MATCH(B142,KRI!$A$4:$A$11,0))="≤",D142&lt;=INDEX(KRI!$E$4:$E$11,MATCH(B142,KRI!$A$4:$A$11,0)))),"Alerta","En rango"))</f>
        <v/>
      </c>
      <c r="F142" s="11"/>
      <c r="G142" s="11"/>
      <c r="H142" s="9"/>
    </row>
    <row r="143" spans="1:8" ht="19.5" customHeight="1" x14ac:dyDescent="0.25">
      <c r="A143" s="15"/>
      <c r="B143" s="14"/>
      <c r="C143" s="12" t="str">
        <f>IF(B143="","",INDEX(KRI!$B$4:$B$11,MATCH(B143,KRI!$A$4:$A$11,0)))</f>
        <v/>
      </c>
      <c r="D143" s="14"/>
      <c r="E143" s="13" t="str">
        <f>IF(OR(B143="",D143=""),"",IF(OR(AND(INDEX(KRI!$D$4:$D$11,MATCH(B143,KRI!$A$4:$A$11,0))="≥",D143&gt;=INDEX(KRI!$E$4:$E$11,MATCH(B143,KRI!$A$4:$A$11,0))),AND(INDEX(KRI!$D$4:$D$11,MATCH(B143,KRI!$A$4:$A$11,0))="≤",D143&lt;=INDEX(KRI!$E$4:$E$11,MATCH(B143,KRI!$A$4:$A$11,0)))),"Alerta","En rango"))</f>
        <v/>
      </c>
      <c r="F143" s="16"/>
      <c r="G143" s="16"/>
      <c r="H143" s="14"/>
    </row>
    <row r="144" spans="1:8" ht="19.5" customHeight="1" x14ac:dyDescent="0.25">
      <c r="A144" s="10"/>
      <c r="B144" s="9"/>
      <c r="C144" s="6" t="str">
        <f>IF(B144="","",INDEX(KRI!$B$4:$B$11,MATCH(B144,KRI!$A$4:$A$11,0)))</f>
        <v/>
      </c>
      <c r="D144" s="9"/>
      <c r="E144" s="7" t="str">
        <f>IF(OR(B144="",D144=""),"",IF(OR(AND(INDEX(KRI!$D$4:$D$11,MATCH(B144,KRI!$A$4:$A$11,0))="≥",D144&gt;=INDEX(KRI!$E$4:$E$11,MATCH(B144,KRI!$A$4:$A$11,0))),AND(INDEX(KRI!$D$4:$D$11,MATCH(B144,KRI!$A$4:$A$11,0))="≤",D144&lt;=INDEX(KRI!$E$4:$E$11,MATCH(B144,KRI!$A$4:$A$11,0)))),"Alerta","En rango"))</f>
        <v/>
      </c>
      <c r="F144" s="11"/>
      <c r="G144" s="11"/>
      <c r="H144" s="9"/>
    </row>
    <row r="145" spans="1:8" ht="19.5" customHeight="1" x14ac:dyDescent="0.25">
      <c r="A145" s="15"/>
      <c r="B145" s="14"/>
      <c r="C145" s="12" t="str">
        <f>IF(B145="","",INDEX(KRI!$B$4:$B$11,MATCH(B145,KRI!$A$4:$A$11,0)))</f>
        <v/>
      </c>
      <c r="D145" s="14"/>
      <c r="E145" s="13" t="str">
        <f>IF(OR(B145="",D145=""),"",IF(OR(AND(INDEX(KRI!$D$4:$D$11,MATCH(B145,KRI!$A$4:$A$11,0))="≥",D145&gt;=INDEX(KRI!$E$4:$E$11,MATCH(B145,KRI!$A$4:$A$11,0))),AND(INDEX(KRI!$D$4:$D$11,MATCH(B145,KRI!$A$4:$A$11,0))="≤",D145&lt;=INDEX(KRI!$E$4:$E$11,MATCH(B145,KRI!$A$4:$A$11,0)))),"Alerta","En rango"))</f>
        <v/>
      </c>
      <c r="F145" s="16"/>
      <c r="G145" s="16"/>
      <c r="H145" s="14"/>
    </row>
    <row r="146" spans="1:8" ht="19.5" customHeight="1" x14ac:dyDescent="0.25">
      <c r="A146" s="10"/>
      <c r="B146" s="9"/>
      <c r="C146" s="6" t="str">
        <f>IF(B146="","",INDEX(KRI!$B$4:$B$11,MATCH(B146,KRI!$A$4:$A$11,0)))</f>
        <v/>
      </c>
      <c r="D146" s="9"/>
      <c r="E146" s="7" t="str">
        <f>IF(OR(B146="",D146=""),"",IF(OR(AND(INDEX(KRI!$D$4:$D$11,MATCH(B146,KRI!$A$4:$A$11,0))="≥",D146&gt;=INDEX(KRI!$E$4:$E$11,MATCH(B146,KRI!$A$4:$A$11,0))),AND(INDEX(KRI!$D$4:$D$11,MATCH(B146,KRI!$A$4:$A$11,0))="≤",D146&lt;=INDEX(KRI!$E$4:$E$11,MATCH(B146,KRI!$A$4:$A$11,0)))),"Alerta","En rango"))</f>
        <v/>
      </c>
      <c r="F146" s="11"/>
      <c r="G146" s="11"/>
      <c r="H146" s="9"/>
    </row>
    <row r="147" spans="1:8" ht="19.5" customHeight="1" x14ac:dyDescent="0.25">
      <c r="A147" s="15"/>
      <c r="B147" s="14"/>
      <c r="C147" s="12" t="str">
        <f>IF(B147="","",INDEX(KRI!$B$4:$B$11,MATCH(B147,KRI!$A$4:$A$11,0)))</f>
        <v/>
      </c>
      <c r="D147" s="14"/>
      <c r="E147" s="13" t="str">
        <f>IF(OR(B147="",D147=""),"",IF(OR(AND(INDEX(KRI!$D$4:$D$11,MATCH(B147,KRI!$A$4:$A$11,0))="≥",D147&gt;=INDEX(KRI!$E$4:$E$11,MATCH(B147,KRI!$A$4:$A$11,0))),AND(INDEX(KRI!$D$4:$D$11,MATCH(B147,KRI!$A$4:$A$11,0))="≤",D147&lt;=INDEX(KRI!$E$4:$E$11,MATCH(B147,KRI!$A$4:$A$11,0)))),"Alerta","En rango"))</f>
        <v/>
      </c>
      <c r="F147" s="16"/>
      <c r="G147" s="16"/>
      <c r="H147" s="14"/>
    </row>
    <row r="148" spans="1:8" ht="19.5" customHeight="1" x14ac:dyDescent="0.25">
      <c r="A148" s="10"/>
      <c r="B148" s="9"/>
      <c r="C148" s="6" t="str">
        <f>IF(B148="","",INDEX(KRI!$B$4:$B$11,MATCH(B148,KRI!$A$4:$A$11,0)))</f>
        <v/>
      </c>
      <c r="D148" s="9"/>
      <c r="E148" s="7" t="str">
        <f>IF(OR(B148="",D148=""),"",IF(OR(AND(INDEX(KRI!$D$4:$D$11,MATCH(B148,KRI!$A$4:$A$11,0))="≥",D148&gt;=INDEX(KRI!$E$4:$E$11,MATCH(B148,KRI!$A$4:$A$11,0))),AND(INDEX(KRI!$D$4:$D$11,MATCH(B148,KRI!$A$4:$A$11,0))="≤",D148&lt;=INDEX(KRI!$E$4:$E$11,MATCH(B148,KRI!$A$4:$A$11,0)))),"Alerta","En rango"))</f>
        <v/>
      </c>
      <c r="F148" s="11"/>
      <c r="G148" s="11"/>
      <c r="H148" s="9"/>
    </row>
    <row r="149" spans="1:8" ht="19.5" customHeight="1" x14ac:dyDescent="0.25">
      <c r="A149" s="15"/>
      <c r="B149" s="14"/>
      <c r="C149" s="12" t="str">
        <f>IF(B149="","",INDEX(KRI!$B$4:$B$11,MATCH(B149,KRI!$A$4:$A$11,0)))</f>
        <v/>
      </c>
      <c r="D149" s="14"/>
      <c r="E149" s="13" t="str">
        <f>IF(OR(B149="",D149=""),"",IF(OR(AND(INDEX(KRI!$D$4:$D$11,MATCH(B149,KRI!$A$4:$A$11,0))="≥",D149&gt;=INDEX(KRI!$E$4:$E$11,MATCH(B149,KRI!$A$4:$A$11,0))),AND(INDEX(KRI!$D$4:$D$11,MATCH(B149,KRI!$A$4:$A$11,0))="≤",D149&lt;=INDEX(KRI!$E$4:$E$11,MATCH(B149,KRI!$A$4:$A$11,0)))),"Alerta","En rango"))</f>
        <v/>
      </c>
      <c r="F149" s="16"/>
      <c r="G149" s="16"/>
      <c r="H149" s="14"/>
    </row>
    <row r="150" spans="1:8" ht="19.5" customHeight="1" x14ac:dyDescent="0.25">
      <c r="A150" s="10"/>
      <c r="B150" s="9"/>
      <c r="C150" s="6" t="str">
        <f>IF(B150="","",INDEX(KRI!$B$4:$B$11,MATCH(B150,KRI!$A$4:$A$11,0)))</f>
        <v/>
      </c>
      <c r="D150" s="9"/>
      <c r="E150" s="7" t="str">
        <f>IF(OR(B150="",D150=""),"",IF(OR(AND(INDEX(KRI!$D$4:$D$11,MATCH(B150,KRI!$A$4:$A$11,0))="≥",D150&gt;=INDEX(KRI!$E$4:$E$11,MATCH(B150,KRI!$A$4:$A$11,0))),AND(INDEX(KRI!$D$4:$D$11,MATCH(B150,KRI!$A$4:$A$11,0))="≤",D150&lt;=INDEX(KRI!$E$4:$E$11,MATCH(B150,KRI!$A$4:$A$11,0)))),"Alerta","En rango"))</f>
        <v/>
      </c>
      <c r="F150" s="11"/>
      <c r="G150" s="11"/>
      <c r="H150" s="9"/>
    </row>
    <row r="151" spans="1:8" ht="19.5" customHeight="1" x14ac:dyDescent="0.25">
      <c r="A151" s="15"/>
      <c r="B151" s="14"/>
      <c r="C151" s="12" t="str">
        <f>IF(B151="","",INDEX(KRI!$B$4:$B$11,MATCH(B151,KRI!$A$4:$A$11,0)))</f>
        <v/>
      </c>
      <c r="D151" s="14"/>
      <c r="E151" s="13" t="str">
        <f>IF(OR(B151="",D151=""),"",IF(OR(AND(INDEX(KRI!$D$4:$D$11,MATCH(B151,KRI!$A$4:$A$11,0))="≥",D151&gt;=INDEX(KRI!$E$4:$E$11,MATCH(B151,KRI!$A$4:$A$11,0))),AND(INDEX(KRI!$D$4:$D$11,MATCH(B151,KRI!$A$4:$A$11,0))="≤",D151&lt;=INDEX(KRI!$E$4:$E$11,MATCH(B151,KRI!$A$4:$A$11,0)))),"Alerta","En rango"))</f>
        <v/>
      </c>
      <c r="F151" s="16"/>
      <c r="G151" s="16"/>
      <c r="H151" s="14"/>
    </row>
    <row r="152" spans="1:8" ht="19.5" customHeight="1" x14ac:dyDescent="0.25">
      <c r="A152" s="10"/>
      <c r="B152" s="9"/>
      <c r="C152" s="6" t="str">
        <f>IF(B152="","",INDEX(KRI!$B$4:$B$11,MATCH(B152,KRI!$A$4:$A$11,0)))</f>
        <v/>
      </c>
      <c r="D152" s="9"/>
      <c r="E152" s="7" t="str">
        <f>IF(OR(B152="",D152=""),"",IF(OR(AND(INDEX(KRI!$D$4:$D$11,MATCH(B152,KRI!$A$4:$A$11,0))="≥",D152&gt;=INDEX(KRI!$E$4:$E$11,MATCH(B152,KRI!$A$4:$A$11,0))),AND(INDEX(KRI!$D$4:$D$11,MATCH(B152,KRI!$A$4:$A$11,0))="≤",D152&lt;=INDEX(KRI!$E$4:$E$11,MATCH(B152,KRI!$A$4:$A$11,0)))),"Alerta","En rango"))</f>
        <v/>
      </c>
      <c r="F152" s="11"/>
      <c r="G152" s="11"/>
      <c r="H152" s="9"/>
    </row>
    <row r="153" spans="1:8" ht="19.5" customHeight="1" x14ac:dyDescent="0.25">
      <c r="A153" s="15"/>
      <c r="B153" s="14"/>
      <c r="C153" s="12" t="str">
        <f>IF(B153="","",INDEX(KRI!$B$4:$B$11,MATCH(B153,KRI!$A$4:$A$11,0)))</f>
        <v/>
      </c>
      <c r="D153" s="14"/>
      <c r="E153" s="13" t="str">
        <f>IF(OR(B153="",D153=""),"",IF(OR(AND(INDEX(KRI!$D$4:$D$11,MATCH(B153,KRI!$A$4:$A$11,0))="≥",D153&gt;=INDEX(KRI!$E$4:$E$11,MATCH(B153,KRI!$A$4:$A$11,0))),AND(INDEX(KRI!$D$4:$D$11,MATCH(B153,KRI!$A$4:$A$11,0))="≤",D153&lt;=INDEX(KRI!$E$4:$E$11,MATCH(B153,KRI!$A$4:$A$11,0)))),"Alerta","En rango"))</f>
        <v/>
      </c>
      <c r="F153" s="16"/>
      <c r="G153" s="16"/>
      <c r="H153" s="14"/>
    </row>
  </sheetData>
  <autoFilter ref="A3:H153" xr:uid="{00000000-0009-0000-0000-000001000000}"/>
  <mergeCells count="2">
    <mergeCell ref="A1:H1"/>
    <mergeCell ref="A2:H2"/>
  </mergeCells>
  <conditionalFormatting sqref="E4:E153">
    <cfRule type="expression" dxfId="3" priority="2">
      <formula>E4="Alerta"</formula>
    </cfRule>
    <cfRule type="expression" dxfId="2" priority="3">
      <formula>E4="En rango"</formula>
    </cfRule>
  </conditionalFormatting>
  <dataValidations count="2">
    <dataValidation type="date" operator="greaterThan" allowBlank="1" sqref="A4:A153" xr:uid="{00000000-0002-0000-0100-000001000000}">
      <formula1>36526</formula1>
      <formula2>0</formula2>
    </dataValidation>
    <dataValidation type="decimal" operator="greaterThanOrEqual" allowBlank="1" sqref="D4:D153" xr:uid="{00000000-0002-0000-0100-000002000000}">
      <formula1>0</formula1>
      <formula2>0</formula2>
    </dataValidation>
  </dataValidations>
  <pageMargins left="0.75" right="0.75" top="1" bottom="1" header="0.511811023622047" footer="0.511811023622047"/>
  <pageSetup fitToHeight="0" orientation="landscape" horizontalDpi="300" verticalDpi="300"/>
  <extLst>
    <ext xmlns:x14="http://schemas.microsoft.com/office/spreadsheetml/2009/9/main" uri="{CCE6A557-97BC-4b89-ADB6-D9C93CAAB3DF}">
      <x14:dataValidations xmlns:xm="http://schemas.microsoft.com/office/excel/2006/main" count="1">
        <x14:dataValidation type="list" allowBlank="1" error="Seleccione un ID de la lista." xr:uid="{00000000-0002-0000-0100-000000000000}">
          <x14:formula1>
            <xm:f>KRI!$A$4:$A$11</xm:f>
          </x14:formula1>
          <x14:formula2>
            <xm:f>0</xm:f>
          </x14:formula2>
          <xm:sqref>B4:B153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0"/>
  <sheetViews>
    <sheetView zoomScaleNormal="100" workbookViewId="0"/>
  </sheetViews>
  <sheetFormatPr baseColWidth="10" defaultColWidth="8.7109375" defaultRowHeight="15" x14ac:dyDescent="0.25"/>
  <cols>
    <col min="1" max="1" width="26" customWidth="1"/>
    <col min="2" max="5" width="14" customWidth="1"/>
    <col min="6" max="6" width="16" customWidth="1"/>
  </cols>
  <sheetData>
    <row r="1" spans="1:6" ht="27.75" customHeight="1" x14ac:dyDescent="0.25">
      <c r="A1" s="3" t="s">
        <v>0</v>
      </c>
      <c r="B1" s="3"/>
      <c r="C1" s="3"/>
      <c r="D1" s="3"/>
      <c r="E1" s="3"/>
      <c r="F1" s="3"/>
    </row>
    <row r="2" spans="1:6" ht="21.75" customHeight="1" x14ac:dyDescent="0.25">
      <c r="A2" s="2" t="s">
        <v>69</v>
      </c>
      <c r="B2" s="2"/>
      <c r="C2" s="2"/>
      <c r="D2" s="2"/>
      <c r="E2" s="2"/>
      <c r="F2" s="2"/>
    </row>
    <row r="3" spans="1:6" ht="30" customHeight="1" x14ac:dyDescent="0.25">
      <c r="A3" s="4" t="s">
        <v>8</v>
      </c>
      <c r="B3" s="4" t="s">
        <v>70</v>
      </c>
      <c r="C3" s="4" t="s">
        <v>71</v>
      </c>
      <c r="D3" s="4" t="s">
        <v>72</v>
      </c>
      <c r="E3" s="4" t="s">
        <v>73</v>
      </c>
      <c r="F3" s="4" t="s">
        <v>74</v>
      </c>
    </row>
    <row r="4" spans="1:6" ht="24" customHeight="1" x14ac:dyDescent="0.25">
      <c r="A4" s="19" t="s">
        <v>75</v>
      </c>
      <c r="B4" s="20">
        <f>COUNTIF(KRI!$G$4:$G$11,"Semanal")</f>
        <v>1</v>
      </c>
      <c r="C4" s="21">
        <f>COUNTIFS(KRI!$G$4:$G$11,"Semanal",KRI!$M$4:$M$11,"En rango")</f>
        <v>0</v>
      </c>
      <c r="D4" s="22">
        <f>COUNTIFS(KRI!$G$4:$G$11,"Semanal",KRI!$M$4:$M$11,"Alerta")</f>
        <v>0</v>
      </c>
      <c r="E4" s="23">
        <f>COUNTIFS(KRI!$G$4:$G$11,"Semanal",KRI!$M$4:$M$11,"Sin medir")</f>
        <v>1</v>
      </c>
      <c r="F4" s="24">
        <f>IF(B4=0,0,D4/B4)</f>
        <v>0</v>
      </c>
    </row>
    <row r="5" spans="1:6" ht="24" customHeight="1" x14ac:dyDescent="0.25">
      <c r="A5" s="25" t="s">
        <v>76</v>
      </c>
      <c r="B5" s="26">
        <f>COUNTIF(KRI!$G$4:$G$11,"Mensual")</f>
        <v>6</v>
      </c>
      <c r="C5" s="27">
        <f>COUNTIFS(KRI!$G$4:$G$11,"Mensual",KRI!$M$4:$M$11,"En rango")</f>
        <v>0</v>
      </c>
      <c r="D5" s="28">
        <f>COUNTIFS(KRI!$G$4:$G$11,"Mensual",KRI!$M$4:$M$11,"Alerta")</f>
        <v>0</v>
      </c>
      <c r="E5" s="29">
        <f>COUNTIFS(KRI!$G$4:$G$11,"Mensual",KRI!$M$4:$M$11,"Sin medir")</f>
        <v>6</v>
      </c>
      <c r="F5" s="30">
        <f>IF(B5=0,0,D5/B5)</f>
        <v>0</v>
      </c>
    </row>
    <row r="6" spans="1:6" ht="24" customHeight="1" x14ac:dyDescent="0.25">
      <c r="A6" s="31" t="s">
        <v>77</v>
      </c>
      <c r="B6" s="20">
        <f>COUNTIF(KRI!$G$4:$G$11,"Trimestral")</f>
        <v>1</v>
      </c>
      <c r="C6" s="21">
        <f>COUNTIFS(KRI!$G$4:$G$11,"Trimestral",KRI!$M$4:$M$11,"En rango")</f>
        <v>0</v>
      </c>
      <c r="D6" s="22">
        <f>COUNTIFS(KRI!$G$4:$G$11,"Trimestral",KRI!$M$4:$M$11,"Alerta")</f>
        <v>0</v>
      </c>
      <c r="E6" s="23">
        <f>COUNTIFS(KRI!$G$4:$G$11,"Trimestral",KRI!$M$4:$M$11,"Sin medir")</f>
        <v>1</v>
      </c>
      <c r="F6" s="24">
        <f>IF(B6=0,0,D6/B6)</f>
        <v>0</v>
      </c>
    </row>
    <row r="7" spans="1:6" ht="24" customHeight="1" x14ac:dyDescent="0.25">
      <c r="A7" s="32" t="s">
        <v>78</v>
      </c>
      <c r="B7" s="33">
        <f>SUM(B4:B6)</f>
        <v>8</v>
      </c>
      <c r="C7" s="33">
        <f>SUM(C4:C6)</f>
        <v>0</v>
      </c>
      <c r="D7" s="33">
        <f>SUM(D4:D6)</f>
        <v>0</v>
      </c>
      <c r="E7" s="33">
        <f>SUM(E4:E6)</f>
        <v>8</v>
      </c>
      <c r="F7" s="34">
        <f>IF(B7=0,0,D7/B7)</f>
        <v>0</v>
      </c>
    </row>
    <row r="9" spans="1:6" ht="21.75" customHeight="1" x14ac:dyDescent="0.25">
      <c r="A9" s="2" t="s">
        <v>79</v>
      </c>
      <c r="B9" s="2"/>
      <c r="C9" s="2"/>
      <c r="D9" s="2"/>
      <c r="E9" s="2"/>
      <c r="F9" s="2"/>
    </row>
    <row r="10" spans="1:6" ht="30" customHeight="1" x14ac:dyDescent="0.25">
      <c r="A10" s="4" t="s">
        <v>3</v>
      </c>
      <c r="B10" s="4" t="s">
        <v>2</v>
      </c>
      <c r="C10" s="4" t="s">
        <v>80</v>
      </c>
      <c r="D10" s="4" t="s">
        <v>81</v>
      </c>
      <c r="E10" s="4" t="s">
        <v>82</v>
      </c>
      <c r="F10" s="4" t="s">
        <v>83</v>
      </c>
    </row>
    <row r="11" spans="1:6" ht="30" customHeight="1" x14ac:dyDescent="0.25">
      <c r="A11" s="35" t="str">
        <f>KRI!B4</f>
        <v>Dispositivos retirados sin registro formal</v>
      </c>
      <c r="B11" s="5" t="str">
        <f>KRI!A4</f>
        <v>KRI-DIS-01</v>
      </c>
      <c r="C11" s="7">
        <f>COUNTIF(Historial!$B$4:$B$153,B11)</f>
        <v>0</v>
      </c>
      <c r="D11" s="36">
        <f>COUNTIFS(Historial!$B$4:$B$153,B11,Historial!$E$4:$E$153,"Alerta")</f>
        <v>0</v>
      </c>
      <c r="E11" s="37" t="str">
        <f>IF(C11=0,"—",SUMPRODUCT(MAX((Historial!$B$4:$B$153=B11)*Historial!$A$4:$A$153)))</f>
        <v>—</v>
      </c>
      <c r="F11" s="26" t="str">
        <f>KRI!M4</f>
        <v>Sin medir</v>
      </c>
    </row>
    <row r="12" spans="1:6" ht="30" customHeight="1" x14ac:dyDescent="0.25">
      <c r="A12" s="38" t="str">
        <f>KRI!B5</f>
        <v>Dispositivos en espera de disposición por tiempo excesivo</v>
      </c>
      <c r="B12" s="5" t="str">
        <f>KRI!A5</f>
        <v>KRI-DIS-02</v>
      </c>
      <c r="C12" s="13">
        <f>COUNTIF(Historial!$B$4:$B$153,B12)</f>
        <v>0</v>
      </c>
      <c r="D12" s="39">
        <f>COUNTIFS(Historial!$B$4:$B$153,B12,Historial!$E$4:$E$153,"Alerta")</f>
        <v>0</v>
      </c>
      <c r="E12" s="40" t="str">
        <f>IF(C12=0,"—",SUMPRODUCT(MAX((Historial!$B$4:$B$153=B12)*Historial!$A$4:$A$153)))</f>
        <v>—</v>
      </c>
      <c r="F12" s="20" t="str">
        <f>KRI!M5</f>
        <v>Sin medir</v>
      </c>
    </row>
    <row r="13" spans="1:6" ht="30" customHeight="1" x14ac:dyDescent="0.25">
      <c r="A13" s="35" t="str">
        <f>KRI!B6</f>
        <v>Disposiciones sin certificado</v>
      </c>
      <c r="B13" s="5" t="str">
        <f>KRI!A6</f>
        <v>KRI-DIS-03</v>
      </c>
      <c r="C13" s="7">
        <f>COUNTIF(Historial!$B$4:$B$153,B13)</f>
        <v>0</v>
      </c>
      <c r="D13" s="36">
        <f>COUNTIFS(Historial!$B$4:$B$153,B13,Historial!$E$4:$E$153,"Alerta")</f>
        <v>0</v>
      </c>
      <c r="E13" s="37" t="str">
        <f>IF(C13=0,"—",SUMPRODUCT(MAX((Historial!$B$4:$B$153=B13)*Historial!$A$4:$A$153)))</f>
        <v>—</v>
      </c>
      <c r="F13" s="26" t="str">
        <f>KRI!M6</f>
        <v>Sin medir</v>
      </c>
    </row>
    <row r="14" spans="1:6" ht="30" customHeight="1" x14ac:dyDescent="0.25">
      <c r="A14" s="38" t="str">
        <f>KRI!B7</f>
        <v>Certificados no verificables o con discrepancias</v>
      </c>
      <c r="B14" s="5" t="str">
        <f>KRI!A7</f>
        <v>KRI-DIS-04</v>
      </c>
      <c r="C14" s="13">
        <f>COUNTIF(Historial!$B$4:$B$153,B14)</f>
        <v>0</v>
      </c>
      <c r="D14" s="39">
        <f>COUNTIFS(Historial!$B$4:$B$153,B14,Historial!$E$4:$E$153,"Alerta")</f>
        <v>0</v>
      </c>
      <c r="E14" s="40" t="str">
        <f>IF(C14=0,"—",SUMPRODUCT(MAX((Historial!$B$4:$B$153=B14)*Historial!$A$4:$A$153)))</f>
        <v>—</v>
      </c>
      <c r="F14" s="20" t="str">
        <f>KRI!M7</f>
        <v>Sin medir</v>
      </c>
    </row>
    <row r="15" spans="1:6" ht="30" customHeight="1" x14ac:dyDescent="0.25">
      <c r="A15" s="35" t="str">
        <f>KRI!B8</f>
        <v>Dispositivos dados de baja con actividad en la red</v>
      </c>
      <c r="B15" s="5" t="str">
        <f>KRI!A8</f>
        <v>KRI-DIS-05</v>
      </c>
      <c r="C15" s="7">
        <f>COUNTIF(Historial!$B$4:$B$153,B15)</f>
        <v>0</v>
      </c>
      <c r="D15" s="36">
        <f>COUNTIFS(Historial!$B$4:$B$153,B15,Historial!$E$4:$E$153,"Alerta")</f>
        <v>0</v>
      </c>
      <c r="E15" s="37" t="str">
        <f>IF(C15=0,"—",SUMPRODUCT(MAX((Historial!$B$4:$B$153=B15)*Historial!$A$4:$A$153)))</f>
        <v>—</v>
      </c>
      <c r="F15" s="26" t="str">
        <f>KRI!M8</f>
        <v>Sin medir</v>
      </c>
    </row>
    <row r="16" spans="1:6" ht="30" customHeight="1" x14ac:dyDescent="0.25">
      <c r="A16" s="38" t="str">
        <f>KRI!B9</f>
        <v>Entregas a proveedores no acreditados</v>
      </c>
      <c r="B16" s="5" t="str">
        <f>KRI!A9</f>
        <v>KRI-DIS-06</v>
      </c>
      <c r="C16" s="13">
        <f>COUNTIF(Historial!$B$4:$B$153,B16)</f>
        <v>0</v>
      </c>
      <c r="D16" s="39">
        <f>COUNTIFS(Historial!$B$4:$B$153,B16,Historial!$E$4:$E$153,"Alerta")</f>
        <v>0</v>
      </c>
      <c r="E16" s="40" t="str">
        <f>IF(C16=0,"—",SUMPRODUCT(MAX((Historial!$B$4:$B$153=B16)*Historial!$A$4:$A$153)))</f>
        <v>—</v>
      </c>
      <c r="F16" s="20" t="str">
        <f>KRI!M9</f>
        <v>Sin medir</v>
      </c>
    </row>
    <row r="17" spans="1:6" ht="30" customHeight="1" x14ac:dyDescent="0.25">
      <c r="A17" s="35" t="str">
        <f>KRI!B10</f>
        <v>Desvinculaciones incompletas</v>
      </c>
      <c r="B17" s="5" t="str">
        <f>KRI!A10</f>
        <v>KRI-DIS-07</v>
      </c>
      <c r="C17" s="7">
        <f>COUNTIF(Historial!$B$4:$B$153,B17)</f>
        <v>0</v>
      </c>
      <c r="D17" s="36">
        <f>COUNTIFS(Historial!$B$4:$B$153,B17,Historial!$E$4:$E$153,"Alerta")</f>
        <v>0</v>
      </c>
      <c r="E17" s="37" t="str">
        <f>IF(C17=0,"—",SUMPRODUCT(MAX((Historial!$B$4:$B$153=B17)*Historial!$A$4:$A$153)))</f>
        <v>—</v>
      </c>
      <c r="F17" s="26" t="str">
        <f>KRI!M10</f>
        <v>Sin medir</v>
      </c>
    </row>
    <row r="18" spans="1:6" ht="30" customHeight="1" x14ac:dyDescent="0.25">
      <c r="A18" s="38" t="str">
        <f>KRI!B11</f>
        <v>Días desde la última auditoría cruzada del inventario</v>
      </c>
      <c r="B18" s="5" t="str">
        <f>KRI!A11</f>
        <v>KRI-DIS-08</v>
      </c>
      <c r="C18" s="13">
        <f>COUNTIF(Historial!$B$4:$B$153,B18)</f>
        <v>0</v>
      </c>
      <c r="D18" s="39">
        <f>COUNTIFS(Historial!$B$4:$B$153,B18,Historial!$E$4:$E$153,"Alerta")</f>
        <v>0</v>
      </c>
      <c r="E18" s="40" t="str">
        <f>IF(C18=0,"—",SUMPRODUCT(MAX((Historial!$B$4:$B$153=B18)*Historial!$A$4:$A$153)))</f>
        <v>—</v>
      </c>
      <c r="F18" s="20" t="str">
        <f>KRI!M11</f>
        <v>Sin medir</v>
      </c>
    </row>
    <row r="20" spans="1:6" ht="30" customHeight="1" x14ac:dyDescent="0.25">
      <c r="A20" s="1" t="s">
        <v>84</v>
      </c>
      <c r="B20" s="1"/>
      <c r="C20" s="1"/>
      <c r="D20" s="1"/>
      <c r="E20" s="1"/>
      <c r="F20" s="1"/>
    </row>
  </sheetData>
  <mergeCells count="4">
    <mergeCell ref="A1:F1"/>
    <mergeCell ref="A2:F2"/>
    <mergeCell ref="A9:F9"/>
    <mergeCell ref="A20:F20"/>
  </mergeCells>
  <conditionalFormatting sqref="F11:F18">
    <cfRule type="expression" dxfId="1" priority="2">
      <formula>F11="Alerta"</formula>
    </cfRule>
    <cfRule type="expression" dxfId="0" priority="3">
      <formula>F11="En rango"</formula>
    </cfRule>
  </conditionalFormatting>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B18"/>
  <sheetViews>
    <sheetView zoomScaleNormal="100" workbookViewId="0"/>
  </sheetViews>
  <sheetFormatPr baseColWidth="10" defaultColWidth="8.7109375" defaultRowHeight="15" x14ac:dyDescent="0.25"/>
  <cols>
    <col min="1" max="1" width="24" customWidth="1"/>
    <col min="2" max="2" width="95" customWidth="1"/>
  </cols>
  <sheetData>
    <row r="1" spans="1:2" ht="27.75" customHeight="1" x14ac:dyDescent="0.25">
      <c r="A1" s="3" t="s">
        <v>0</v>
      </c>
      <c r="B1" s="3"/>
    </row>
    <row r="2" spans="1:2" ht="21.75" customHeight="1" x14ac:dyDescent="0.25">
      <c r="A2" s="2" t="s">
        <v>85</v>
      </c>
      <c r="B2" s="2"/>
    </row>
    <row r="3" spans="1:2" ht="30" customHeight="1" x14ac:dyDescent="0.25">
      <c r="A3" s="4" t="s">
        <v>86</v>
      </c>
      <c r="B3" s="4" t="s">
        <v>87</v>
      </c>
    </row>
    <row r="4" spans="1:2" ht="51" customHeight="1" x14ac:dyDescent="0.25">
      <c r="A4" s="41" t="s">
        <v>88</v>
      </c>
      <c r="B4" s="6" t="s">
        <v>89</v>
      </c>
    </row>
    <row r="5" spans="1:2" ht="36" customHeight="1" x14ac:dyDescent="0.25">
      <c r="A5" s="42" t="s">
        <v>90</v>
      </c>
      <c r="B5" s="12" t="s">
        <v>91</v>
      </c>
    </row>
    <row r="6" spans="1:2" ht="51" customHeight="1" x14ac:dyDescent="0.25">
      <c r="A6" s="41" t="s">
        <v>92</v>
      </c>
      <c r="B6" s="6" t="s">
        <v>93</v>
      </c>
    </row>
    <row r="7" spans="1:2" ht="36" customHeight="1" x14ac:dyDescent="0.25">
      <c r="A7" s="42" t="s">
        <v>94</v>
      </c>
      <c r="B7" s="12" t="s">
        <v>95</v>
      </c>
    </row>
    <row r="8" spans="1:2" ht="21" customHeight="1" x14ac:dyDescent="0.25">
      <c r="A8" s="41" t="s">
        <v>2</v>
      </c>
      <c r="B8" s="6" t="s">
        <v>96</v>
      </c>
    </row>
    <row r="9" spans="1:2" ht="21" customHeight="1" x14ac:dyDescent="0.25">
      <c r="A9" s="42" t="s">
        <v>4</v>
      </c>
      <c r="B9" s="12" t="s">
        <v>97</v>
      </c>
    </row>
    <row r="10" spans="1:2" ht="51" customHeight="1" x14ac:dyDescent="0.25">
      <c r="A10" s="41" t="s">
        <v>98</v>
      </c>
      <c r="B10" s="6" t="s">
        <v>99</v>
      </c>
    </row>
    <row r="11" spans="1:2" ht="51" customHeight="1" x14ac:dyDescent="0.25">
      <c r="A11" s="42" t="s">
        <v>7</v>
      </c>
      <c r="B11" s="12" t="s">
        <v>100</v>
      </c>
    </row>
    <row r="12" spans="1:2" ht="51" customHeight="1" x14ac:dyDescent="0.25">
      <c r="A12" s="41" t="s">
        <v>8</v>
      </c>
      <c r="B12" s="6" t="s">
        <v>101</v>
      </c>
    </row>
    <row r="13" spans="1:2" ht="21" customHeight="1" x14ac:dyDescent="0.25">
      <c r="A13" s="42" t="s">
        <v>9</v>
      </c>
      <c r="B13" s="12" t="s">
        <v>102</v>
      </c>
    </row>
    <row r="14" spans="1:2" ht="36" customHeight="1" x14ac:dyDescent="0.25">
      <c r="A14" s="41" t="s">
        <v>10</v>
      </c>
      <c r="B14" s="6" t="s">
        <v>103</v>
      </c>
    </row>
    <row r="15" spans="1:2" ht="21" customHeight="1" x14ac:dyDescent="0.25">
      <c r="A15" s="42" t="s">
        <v>13</v>
      </c>
      <c r="B15" s="12" t="s">
        <v>104</v>
      </c>
    </row>
    <row r="16" spans="1:2" ht="36" customHeight="1" x14ac:dyDescent="0.25">
      <c r="A16" s="41" t="s">
        <v>14</v>
      </c>
      <c r="B16" s="6" t="s">
        <v>105</v>
      </c>
    </row>
    <row r="17" spans="1:2" ht="51" customHeight="1" x14ac:dyDescent="0.25">
      <c r="A17" s="42" t="s">
        <v>106</v>
      </c>
      <c r="B17" s="12" t="s">
        <v>107</v>
      </c>
    </row>
    <row r="18" spans="1:2" ht="36" customHeight="1" x14ac:dyDescent="0.25">
      <c r="A18" s="41" t="s">
        <v>108</v>
      </c>
      <c r="B18" s="6" t="s">
        <v>109</v>
      </c>
    </row>
  </sheetData>
  <mergeCells count="2">
    <mergeCell ref="A1:B1"/>
    <mergeCell ref="A2:B2"/>
  </mergeCell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KRI</vt:lpstr>
      <vt:lpstr>Historial</vt:lpstr>
      <vt:lpstr>Dashboard</vt:lpstr>
      <vt:lpstr>Instructivo</vt:lpstr>
      <vt:lpstr>Historial!Títulos_a_imprimir</vt:lpstr>
      <vt:lpstr>KRI!Títulos_a_imprimir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mvergara@openitnet.com</dc:creator>
  <dc:description/>
  <cp:lastModifiedBy>Mauricio Vergara</cp:lastModifiedBy>
  <cp:revision>0</cp:revision>
  <dcterms:created xsi:type="dcterms:W3CDTF">2026-10-01T17:05:08Z</dcterms:created>
  <dcterms:modified xsi:type="dcterms:W3CDTF">2026-10-01T17:13:03Z</dcterms:modified>
  <dc:language>en-US</dc:language>
</cp:coreProperties>
</file>