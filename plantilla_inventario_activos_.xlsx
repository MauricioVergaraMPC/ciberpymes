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" sheetId="1" state="visible" r:id="rId3"/>
    <sheet name="Software" sheetId="2" state="visible" r:id="rId4"/>
    <sheet name="Servicios" sheetId="3" state="visible" r:id="rId5"/>
    <sheet name="Dashboard" sheetId="4" state="visible" r:id="rId6"/>
    <sheet name="Instructiv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<sst xmlns="http://schemas.openxmlformats.org/spreadsheetml/2006/main" count="163" uniqueCount="137">
  <si>
    <t xml:space="preserve">Inventario de Activos — Hardware  🖥️</t>
  </si>
  <si>
    <t xml:space="preserve">Registre cada activo de la categoría. Los campos marcados con * son obligatorios. Criticidad: 4-Crítico | 3-Alto | 2-Medio | 1-Bajo</t>
  </si>
  <si>
    <t xml:space="preserve">ID Activo *</t>
  </si>
  <si>
    <t xml:space="preserve">Nombre del Activo *</t>
  </si>
  <si>
    <t xml:space="preserve">Descripción</t>
  </si>
  <si>
    <t xml:space="preserve">Subcategoría *</t>
  </si>
  <si>
    <t xml:space="preserve">Tipo de Hardware *</t>
  </si>
  <si>
    <t xml:space="preserve">Dirección IP</t>
  </si>
  <si>
    <t xml:space="preserve">Dirección MAC</t>
  </si>
  <si>
    <t xml:space="preserve">VLAN / Segmento</t>
  </si>
  <si>
    <t xml:space="preserve">SO / Firmware</t>
  </si>
  <si>
    <t xml:space="preserve">Fabricante / Proveedor</t>
  </si>
  <si>
    <t xml:space="preserve">Modelo / Versión</t>
  </si>
  <si>
    <t xml:space="preserve">Número de Serie / Licencia</t>
  </si>
  <si>
    <t xml:space="preserve">Fecha de Adquisición</t>
  </si>
  <si>
    <t xml:space="preserve">Fecha de Vencimiento / EoL</t>
  </si>
  <si>
    <t xml:space="preserve">Propietario Funcional *</t>
  </si>
  <si>
    <t xml:space="preserve">Departamento</t>
  </si>
  <si>
    <t xml:space="preserve">Ubicación *</t>
  </si>
  <si>
    <t xml:space="preserve">Estado *</t>
  </si>
  <si>
    <t xml:space="preserve">HAR-001</t>
  </si>
  <si>
    <t xml:space="preserve">HAR-002</t>
  </si>
  <si>
    <t xml:space="preserve">HAR-003</t>
  </si>
  <si>
    <t xml:space="preserve">HAR-004</t>
  </si>
  <si>
    <t xml:space="preserve">HAR-005</t>
  </si>
  <si>
    <t xml:space="preserve">HAR-006</t>
  </si>
  <si>
    <t xml:space="preserve">HAR-007</t>
  </si>
  <si>
    <t xml:space="preserve">HAR-008</t>
  </si>
  <si>
    <t xml:space="preserve">HAR-009</t>
  </si>
  <si>
    <t xml:space="preserve">HAR-010</t>
  </si>
  <si>
    <t xml:space="preserve">HAR-011</t>
  </si>
  <si>
    <t xml:space="preserve">HAR-012</t>
  </si>
  <si>
    <t xml:space="preserve">HAR-013</t>
  </si>
  <si>
    <t xml:space="preserve">HAR-014</t>
  </si>
  <si>
    <t xml:space="preserve">HAR-015</t>
  </si>
  <si>
    <t xml:space="preserve">HAR-016</t>
  </si>
  <si>
    <t xml:space="preserve">HAR-017</t>
  </si>
  <si>
    <t xml:space="preserve">HAR-018</t>
  </si>
  <si>
    <t xml:space="preserve">HAR-019</t>
  </si>
  <si>
    <t xml:space="preserve">HAR-020</t>
  </si>
  <si>
    <t xml:space="preserve">HAR-021</t>
  </si>
  <si>
    <t xml:space="preserve">Inventario de Activos — Software  💿</t>
  </si>
  <si>
    <t xml:space="preserve">Tipo de Software *</t>
  </si>
  <si>
    <t xml:space="preserve">Versión instalada</t>
  </si>
  <si>
    <t xml:space="preserve">Plataforma / SO base</t>
  </si>
  <si>
    <t xml:space="preserve">Tipo de licencia</t>
  </si>
  <si>
    <t xml:space="preserve">Cantidad de licencias</t>
  </si>
  <si>
    <t xml:space="preserve">Equipo(s) asociado(s)</t>
  </si>
  <si>
    <t xml:space="preserve">SOF-001</t>
  </si>
  <si>
    <t xml:space="preserve">SOF-002</t>
  </si>
  <si>
    <t xml:space="preserve">SOF-003</t>
  </si>
  <si>
    <t xml:space="preserve">SOF-004</t>
  </si>
  <si>
    <t xml:space="preserve">SOF-005</t>
  </si>
  <si>
    <t xml:space="preserve">SOF-006</t>
  </si>
  <si>
    <t xml:space="preserve">SOF-007</t>
  </si>
  <si>
    <t xml:space="preserve">SOF-008</t>
  </si>
  <si>
    <t xml:space="preserve">SOF-009</t>
  </si>
  <si>
    <t xml:space="preserve">SOF-010</t>
  </si>
  <si>
    <t xml:space="preserve">SOF-011</t>
  </si>
  <si>
    <t xml:space="preserve">SOF-012</t>
  </si>
  <si>
    <t xml:space="preserve">SOF-013</t>
  </si>
  <si>
    <t xml:space="preserve">SOF-014</t>
  </si>
  <si>
    <t xml:space="preserve">SOF-015</t>
  </si>
  <si>
    <t xml:space="preserve">SOF-016</t>
  </si>
  <si>
    <t xml:space="preserve">SOF-017</t>
  </si>
  <si>
    <t xml:space="preserve">SOF-018</t>
  </si>
  <si>
    <t xml:space="preserve">SOF-019</t>
  </si>
  <si>
    <t xml:space="preserve">SOF-020</t>
  </si>
  <si>
    <t xml:space="preserve">SOF-021</t>
  </si>
  <si>
    <t xml:space="preserve">Inventario de Activos — Servicios en la Nube y Conectividad  ☁️</t>
  </si>
  <si>
    <t xml:space="preserve">Tipo de Servicio *</t>
  </si>
  <si>
    <t xml:space="preserve">URL / Endpoint</t>
  </si>
  <si>
    <t xml:space="preserve">Proveedor de servicio</t>
  </si>
  <si>
    <t xml:space="preserve">Contrato / Referencia</t>
  </si>
  <si>
    <t xml:space="preserve">Fecha inicio contrato</t>
  </si>
  <si>
    <t xml:space="preserve">Responsable técnico</t>
  </si>
  <si>
    <t xml:space="preserve">SRV-001</t>
  </si>
  <si>
    <t xml:space="preserve">SRV-002</t>
  </si>
  <si>
    <t xml:space="preserve">SRV-003</t>
  </si>
  <si>
    <t xml:space="preserve">SRV-004</t>
  </si>
  <si>
    <t xml:space="preserve">SRV-005</t>
  </si>
  <si>
    <t xml:space="preserve">SRV-006</t>
  </si>
  <si>
    <t xml:space="preserve">SRV-007</t>
  </si>
  <si>
    <t xml:space="preserve">SRV-008</t>
  </si>
  <si>
    <t xml:space="preserve">SRV-009</t>
  </si>
  <si>
    <t xml:space="preserve">SRV-010</t>
  </si>
  <si>
    <t xml:space="preserve">SRV-011</t>
  </si>
  <si>
    <t xml:space="preserve">SRV-012</t>
  </si>
  <si>
    <t xml:space="preserve">SRV-013</t>
  </si>
  <si>
    <t xml:space="preserve">SRV-014</t>
  </si>
  <si>
    <t xml:space="preserve">SRV-015</t>
  </si>
  <si>
    <t xml:space="preserve">SRV-016</t>
  </si>
  <si>
    <t xml:space="preserve">SRV-017</t>
  </si>
  <si>
    <t xml:space="preserve">SRV-018</t>
  </si>
  <si>
    <t xml:space="preserve">SRV-019</t>
  </si>
  <si>
    <t xml:space="preserve">SRV-020</t>
  </si>
  <si>
    <t xml:space="preserve">SRV-021</t>
  </si>
  <si>
    <t xml:space="preserve">Dashboard — Inventario de Activos TI</t>
  </si>
  <si>
    <t xml:space="preserve">Resumen consolidado generado automáticamente desde las hojas de registro.</t>
  </si>
  <si>
    <t xml:space="preserve">Categoría</t>
  </si>
  <si>
    <t xml:space="preserve">Total Activos registrados</t>
  </si>
  <si>
    <t xml:space="preserve">Críticos (4)</t>
  </si>
  <si>
    <t xml:space="preserve">Altos (3)</t>
  </si>
  <si>
    <t xml:space="preserve">Medios (2)</t>
  </si>
  <si>
    <t xml:space="preserve">Bajos (1)</t>
  </si>
  <si>
    <t xml:space="preserve">Sin clasificar</t>
  </si>
  <si>
    <t xml:space="preserve">Hardware</t>
  </si>
  <si>
    <t xml:space="preserve">Software</t>
  </si>
  <si>
    <t xml:space="preserve">Servicios</t>
  </si>
  <si>
    <t xml:space="preserve">TOTAL</t>
  </si>
  <si>
    <t xml:space="preserve">Escala de Criticidad — Referencia</t>
  </si>
  <si>
    <t xml:space="preserve">4 - Crítico</t>
  </si>
  <si>
    <t xml:space="preserve">Su falla detiene operaciones esenciales del negocio.</t>
  </si>
  <si>
    <t xml:space="preserve">3 - Alto</t>
  </si>
  <si>
    <t xml:space="preserve">Impacto significativo; existe workaround pero degradado.</t>
  </si>
  <si>
    <t xml:space="preserve">2 - Medio</t>
  </si>
  <si>
    <t xml:space="preserve">Impacto moderado; la operación continúa con restricciones.</t>
  </si>
  <si>
    <t xml:space="preserve">1 - Bajo</t>
  </si>
  <si>
    <t xml:space="preserve">Impacto mínimo; no afecta procesos críticos del negocio.</t>
  </si>
  <si>
    <t xml:space="preserve">Marco de referencia: NIST CSF 2.0  |  Función: Identificar (ID)  |  Categorías: ID.AM-01 Inventario de Hardware · ID.AM-02 Inventario de Software</t>
  </si>
  <si>
    <t xml:space="preserve">Instructivo de uso — Inventario de Activos TI</t>
  </si>
  <si>
    <t xml:space="preserve">PROPÓSITO</t>
  </si>
  <si>
    <t xml:space="preserve">Este libro de Excel implementa el inventario de activos requerido por la función Identificar (ID.AM) del NIST CSF 2.0. Cubre hardware, software y servicios conforme a las buenas prácticas de ciberseguridad para PyMEs.</t>
  </si>
  <si>
    <t xml:space="preserve">HOJAS DE TRABAJO</t>
  </si>
  <si>
    <t xml:space="preserve">• Hardware: Servidores, equipos de escritorio, portátiles, dispositivos de red.
• Software: Sistemas operativos, aplicaciones, licencias.
• Servicios: Nube, contratos de conectividad, certificados digitales.
• Dashboard: Resumen automático de totales y criticidades.
• Instructivo: Esta guía de uso.</t>
  </si>
  <si>
    <t xml:space="preserve">CAMPOS OBLIGATORIOS (*)</t>
  </si>
  <si>
    <t xml:space="preserve">ID Activo, Nombre, Subcategoría, Propietario Funcional, Ubicación, Estado y Criticidad son obligatorios. Sin ellos el registro queda incompleto para efectos del inventario.</t>
  </si>
  <si>
    <t xml:space="preserve">PROPIETARIO FUNCIONAL</t>
  </si>
  <si>
    <t xml:space="preserve">Indique el nombre del responsable funcional del activo (no necesariamente el área de TI). Ejemplo: 'Gerente Financiero' para un servidor de nómina.</t>
  </si>
  <si>
    <t xml:space="preserve">UBICACIÓN</t>
  </si>
  <si>
    <t xml:space="preserve">Para hardware: nombre del sitio físico, sala o rack. Para software/servicios: indique el entorno lógico (Producción / QA / Nube).</t>
  </si>
  <si>
    <t xml:space="preserve">CRITICIDAD</t>
  </si>
  <si>
    <t xml:space="preserve">Use la escala 4-Crítico / 3-Alto / 2-Medio / 1-Bajo para indicar el impacto operacional si el activo quedara fuera de servicio. Ver tabla en el Dashboard.</t>
  </si>
  <si>
    <t xml:space="preserve">ACTUALIZACION PERIÓDICA</t>
  </si>
  <si>
    <t xml:space="preserve">Se recomienda revisar y actualizar el inventario al menos trimestralmente, o ante cualquier cambio significativo en la infraestructura (adquisición, baja, cambio de proveedor).</t>
  </si>
  <si>
    <t xml:space="preserve">REFERENCIA NIST CSF 2.0</t>
  </si>
  <si>
    <t xml:space="preserve">ID.AM-01: Inventarios de activos de hardware gestionados, actualizados y mantenidos.
ID.AM-02: Inventarios de activos de software, servicios y sistemas gestionados.
ID.AM-05: Activos clasificados según criticidad para los objetivos del negocio.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</si>
</sst>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eorgia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185FA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Georg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827717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8"/>
      <color rgb="FF50505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763"/>
        <bgColor rgb="FF1F497D"/>
      </patternFill>
    </fill>
    <fill>
      <patternFill patternType="solid">
        <fgColor rgb="FF2F5496"/>
        <bgColor rgb="FF1F497D"/>
      </patternFill>
    </fill>
    <fill>
      <patternFill patternType="solid">
        <fgColor rgb="FFD6E4F0"/>
        <bgColor rgb="FFC8E6C9"/>
      </patternFill>
    </fill>
    <fill>
      <patternFill patternType="solid">
        <fgColor rgb="FFFFFFFF"/>
        <bgColor rgb="FFF2F2F2"/>
      </patternFill>
    </fill>
    <fill>
      <patternFill patternType="solid">
        <fgColor rgb="FF1F497D"/>
        <bgColor rgb="FF2F5496"/>
      </patternFill>
    </fill>
    <fill>
      <patternFill patternType="solid">
        <fgColor rgb="FFC55A11"/>
        <bgColor rgb="FFE65100"/>
      </patternFill>
    </fill>
    <fill>
      <patternFill patternType="solid">
        <fgColor rgb="FFFFCCCC"/>
        <bgColor rgb="FFFFE0B2"/>
      </patternFill>
    </fill>
    <fill>
      <patternFill patternType="solid">
        <fgColor rgb="FFFFE0B2"/>
        <bgColor rgb="FFFFCCCC"/>
      </patternFill>
    </fill>
    <fill>
      <patternFill patternType="solid">
        <fgColor rgb="FFFFF9C4"/>
        <bgColor rgb="FFF2F2F2"/>
      </patternFill>
    </fill>
    <fill>
      <patternFill patternType="solid">
        <fgColor rgb="FFC8E6C9"/>
        <bgColor rgb="FFD6E4F0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 diagonalUp="false" diagonalDown="false">
      <left style="thin">
        <color rgb="FF8EA9C1"/>
      </left>
      <right/>
      <top style="thin">
        <color rgb="FF8EA9C1"/>
      </top>
      <bottom style="thin">
        <color rgb="FF8EA9C1"/>
      </bottom>
      <diagonal/>
    </border>
    <border diagonalUp="false" diagonalDown="false">
      <left style="medium">
        <color rgb="FF2F5496"/>
      </left>
      <right/>
      <top style="medium">
        <color rgb="FF2F5496"/>
      </top>
      <bottom style="medium">
        <color rgb="FF2F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27717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E0B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E65100"/>
      <rgbColor rgb="FF2F5496"/>
      <rgbColor rgb="FF8EA9C1"/>
      <rgbColor rgb="FF1F3763"/>
      <rgbColor rgb="FF70AD47"/>
      <rgbColor rgb="FF003300"/>
      <rgbColor rgb="FF333300"/>
      <rgbColor rgb="FFC55A11"/>
      <rgbColor rgb="FF993366"/>
      <rgbColor rgb="FF1F497D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18"/>
    <col collapsed="false" customWidth="true" hidden="false" outlineLevel="0" max="17" min="17" style="1" width="20"/>
    <col collapsed="false" customWidth="true" hidden="false" outlineLevel="0" max="18" min="18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5" hidden="false" customHeight="true" outlineLevel="0" collapsed="false">
      <c r="A4" s="5" t="s">
        <v>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15" hidden="false" customHeight="true" outlineLevel="0" collapsed="false">
      <c r="A5" s="7" t="s">
        <v>21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" hidden="false" customHeight="true" outlineLevel="0" collapsed="false">
      <c r="A6" s="5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5" hidden="false" customHeight="true" outlineLevel="0" collapsed="false">
      <c r="A7" s="7" t="s">
        <v>23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true" outlineLevel="0" collapsed="false">
      <c r="A8" s="5" t="s">
        <v>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5" hidden="false" customHeight="true" outlineLevel="0" collapsed="false">
      <c r="A9" s="7" t="s">
        <v>25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true" outlineLevel="0" collapsed="false">
      <c r="A10" s="5" t="s">
        <v>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5" hidden="false" customHeight="true" outlineLevel="0" collapsed="false">
      <c r="A11" s="7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true" outlineLevel="0" collapsed="false">
      <c r="A12" s="5" t="s">
        <v>28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customFormat="false" ht="15" hidden="false" customHeight="true" outlineLevel="0" collapsed="false">
      <c r="A13" s="7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true" outlineLevel="0" collapsed="false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true" outlineLevel="0" collapsed="false">
      <c r="A15" s="7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true" outlineLevel="0" collapsed="false">
      <c r="A16" s="5" t="s">
        <v>32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15" hidden="false" customHeight="true" outlineLevel="0" collapsed="false">
      <c r="A17" s="7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true" outlineLevel="0" collapsed="false">
      <c r="A18" s="5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true" outlineLevel="0" collapsed="false">
      <c r="A19" s="7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true" outlineLevel="0" collapsed="false">
      <c r="A20" s="5" t="s">
        <v>36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true" outlineLevel="0" collapsed="false">
      <c r="A21" s="7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true" outlineLevel="0" collapsed="false">
      <c r="A22" s="5" t="s">
        <v>38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15" hidden="false" customHeight="true" outlineLevel="0" collapsed="false">
      <c r="A23" s="7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true" outlineLevel="0" collapsed="false">
      <c r="A24" s="5" t="s">
        <v>40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</sheetData>
  <mergeCells count="2">
    <mergeCell ref="A1:R1"/>
    <mergeCell ref="A2:R2"/>
  </mergeCells>
  <dataValidations count="1">
    <dataValidation allowBlank="true" error="Seleccione un estado de la lista." errorStyle="stop" errorTitle="Valor inválido" operator="between" showDropDown="false" showErrorMessage="true" showInputMessage="false" sqref="R4:R200" type="list">
      <formula1>"Activo,En mantenimiento,Fuera de servicio,Dado de baja,Desconocido"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97D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0" min="10" style="1" width="24"/>
    <col collapsed="false" customWidth="true" hidden="false" outlineLevel="0" max="11" min="11" style="1" width="20"/>
    <col collapsed="false" customWidth="true" hidden="false" outlineLevel="0" max="12" min="12" style="1" width="18"/>
    <col collapsed="false" customWidth="true" hidden="false" outlineLevel="0" max="13" min="13" style="1" width="22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18"/>
    <col collapsed="false" customWidth="true" hidden="false" outlineLevel="0" max="18" min="18" style="1" width="20"/>
  </cols>
  <sheetData>
    <row r="1" customFormat="false" ht="31.5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9" t="s">
        <v>2</v>
      </c>
      <c r="B3" s="9" t="s">
        <v>3</v>
      </c>
      <c r="C3" s="9" t="s">
        <v>4</v>
      </c>
      <c r="D3" s="9" t="s">
        <v>5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</row>
    <row r="4" customFormat="false" ht="15" hidden="false" customHeight="true" outlineLevel="0" collapsed="false">
      <c r="A4" s="5" t="s">
        <v>48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15" hidden="false" customHeight="true" outlineLevel="0" collapsed="false">
      <c r="A5" s="7" t="s">
        <v>49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" hidden="false" customHeight="true" outlineLevel="0" collapsed="false">
      <c r="A6" s="5" t="s">
        <v>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5" hidden="false" customHeight="true" outlineLevel="0" collapsed="false">
      <c r="A7" s="7" t="s">
        <v>51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true" outlineLevel="0" collapsed="false">
      <c r="A8" s="5" t="s">
        <v>52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5" hidden="false" customHeight="true" outlineLevel="0" collapsed="false">
      <c r="A9" s="7" t="s">
        <v>53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true" outlineLevel="0" collapsed="false">
      <c r="A10" s="5" t="s">
        <v>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5" hidden="false" customHeight="true" outlineLevel="0" collapsed="false">
      <c r="A11" s="7" t="s">
        <v>55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true" outlineLevel="0" collapsed="false">
      <c r="A12" s="5" t="s">
        <v>56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customFormat="false" ht="15" hidden="false" customHeight="true" outlineLevel="0" collapsed="false">
      <c r="A13" s="7" t="s">
        <v>57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true" outlineLevel="0" collapsed="false">
      <c r="A14" s="5" t="s">
        <v>58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true" outlineLevel="0" collapsed="false">
      <c r="A15" s="7" t="s">
        <v>59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true" outlineLevel="0" collapsed="false">
      <c r="A16" s="5" t="s">
        <v>60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15" hidden="false" customHeight="true" outlineLevel="0" collapsed="false">
      <c r="A17" s="7" t="s">
        <v>61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true" outlineLevel="0" collapsed="false">
      <c r="A18" s="5" t="s">
        <v>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true" outlineLevel="0" collapsed="false">
      <c r="A19" s="7" t="s">
        <v>63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true" outlineLevel="0" collapsed="false">
      <c r="A20" s="5" t="s">
        <v>64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true" outlineLevel="0" collapsed="false">
      <c r="A21" s="7" t="s">
        <v>65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true" outlineLevel="0" collapsed="false">
      <c r="A22" s="5" t="s">
        <v>66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15" hidden="false" customHeight="true" outlineLevel="0" collapsed="false">
      <c r="A23" s="7" t="s">
        <v>67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true" outlineLevel="0" collapsed="false">
      <c r="A24" s="5" t="s">
        <v>68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8" min="7" style="1" width="22"/>
    <col collapsed="false" customWidth="true" hidden="false" outlineLevel="0" max="9" min="9" style="1" width="18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18"/>
    <col collapsed="false" customWidth="true" hidden="false" outlineLevel="0" max="13" min="13" style="1" width="22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18"/>
    <col collapsed="false" customWidth="true" hidden="false" outlineLevel="0" max="18" min="18" style="1" width="20"/>
  </cols>
  <sheetData>
    <row r="1" customFormat="false" ht="31.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10" t="s">
        <v>2</v>
      </c>
      <c r="B3" s="10" t="s">
        <v>3</v>
      </c>
      <c r="C3" s="10" t="s">
        <v>4</v>
      </c>
      <c r="D3" s="10" t="s">
        <v>5</v>
      </c>
      <c r="E3" s="10" t="s">
        <v>70</v>
      </c>
      <c r="F3" s="10" t="s">
        <v>71</v>
      </c>
      <c r="G3" s="10" t="s">
        <v>72</v>
      </c>
      <c r="H3" s="10" t="s">
        <v>73</v>
      </c>
      <c r="I3" s="10" t="s">
        <v>74</v>
      </c>
      <c r="J3" s="10" t="s">
        <v>75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</row>
    <row r="4" customFormat="false" ht="15" hidden="false" customHeight="true" outlineLevel="0" collapsed="false">
      <c r="A4" s="5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15" hidden="false" customHeight="true" outlineLevel="0" collapsed="false">
      <c r="A5" s="7" t="s">
        <v>77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customFormat="false" ht="15" hidden="false" customHeight="true" outlineLevel="0" collapsed="false">
      <c r="A6" s="5" t="s">
        <v>78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customFormat="false" ht="15" hidden="false" customHeight="true" outlineLevel="0" collapsed="false">
      <c r="A7" s="7" t="s">
        <v>79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true" outlineLevel="0" collapsed="false">
      <c r="A8" s="5" t="s">
        <v>80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customFormat="false" ht="15" hidden="false" customHeight="true" outlineLevel="0" collapsed="false">
      <c r="A9" s="7" t="s">
        <v>81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true" outlineLevel="0" collapsed="false">
      <c r="A10" s="5" t="s">
        <v>82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customFormat="false" ht="15" hidden="false" customHeight="true" outlineLevel="0" collapsed="false">
      <c r="A11" s="7" t="s">
        <v>83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true" outlineLevel="0" collapsed="false">
      <c r="A12" s="5" t="s">
        <v>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customFormat="false" ht="15" hidden="false" customHeight="true" outlineLevel="0" collapsed="false">
      <c r="A13" s="7" t="s">
        <v>85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true" outlineLevel="0" collapsed="false">
      <c r="A14" s="5" t="s">
        <v>86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true" outlineLevel="0" collapsed="false">
      <c r="A15" s="7" t="s">
        <v>87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true" outlineLevel="0" collapsed="false">
      <c r="A16" s="5" t="s">
        <v>88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customFormat="false" ht="15" hidden="false" customHeight="true" outlineLevel="0" collapsed="false">
      <c r="A17" s="7" t="s">
        <v>89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true" outlineLevel="0" collapsed="false">
      <c r="A18" s="5" t="s">
        <v>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customFormat="false" ht="15" hidden="false" customHeight="true" outlineLevel="0" collapsed="false">
      <c r="A19" s="7" t="s">
        <v>91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true" outlineLevel="0" collapsed="false">
      <c r="A20" s="5" t="s">
        <v>92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customFormat="false" ht="15" hidden="false" customHeight="true" outlineLevel="0" collapsed="false">
      <c r="A21" s="7" t="s">
        <v>93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true" outlineLevel="0" collapsed="false">
      <c r="A22" s="5" t="s">
        <v>94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customFormat="false" ht="15" hidden="false" customHeight="true" outlineLevel="0" collapsed="false">
      <c r="A23" s="7" t="s">
        <v>95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true" outlineLevel="0" collapsed="false">
      <c r="A24" s="5" t="s">
        <v>96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763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7" min="2" style="1" width="22"/>
  </cols>
  <sheetData>
    <row r="1" customFormat="false" ht="37.5" hidden="false" customHeight="true" outlineLevel="0" collapsed="false">
      <c r="A1" s="11" t="s">
        <v>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18" hidden="false" customHeight="true" outlineLevel="0" collapsed="false">
      <c r="A2" s="3" t="s">
        <v>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0" hidden="false" customHeight="true" outlineLevel="0" collapsed="false">
      <c r="A4" s="12" t="s">
        <v>99</v>
      </c>
      <c r="B4" s="12" t="s">
        <v>100</v>
      </c>
      <c r="C4" s="12" t="s">
        <v>101</v>
      </c>
      <c r="D4" s="12" t="s">
        <v>102</v>
      </c>
      <c r="E4" s="12" t="s">
        <v>103</v>
      </c>
      <c r="F4" s="12" t="s">
        <v>104</v>
      </c>
      <c r="G4" s="12" t="s">
        <v>105</v>
      </c>
    </row>
    <row r="5" customFormat="false" ht="15" hidden="false" customHeight="true" outlineLevel="0" collapsed="false">
      <c r="A5" s="6" t="s">
        <v>106</v>
      </c>
      <c r="B5" s="13" t="n">
        <f aca="false">COUNTA(Hardware!B4:B200)</f>
        <v>0</v>
      </c>
      <c r="C5" s="13" t="n">
        <f aca="false">COUNTIF(Hardware!N4:N200,"4 - Crítico")</f>
        <v>0</v>
      </c>
      <c r="D5" s="13" t="n">
        <f aca="false">COUNTIF(Hardware!N4:N200,"3 - Alto")</f>
        <v>0</v>
      </c>
      <c r="E5" s="13" t="n">
        <f aca="false">COUNTIF(Hardware!N4:N200,"2 - Medio")</f>
        <v>0</v>
      </c>
      <c r="F5" s="13" t="n">
        <f aca="false">COUNTIF(Hardware!N4:N200,"1 - Bajo")</f>
        <v>0</v>
      </c>
      <c r="G5" s="13" t="n">
        <f aca="false">B5-C5-D5-E5-F5</f>
        <v>0</v>
      </c>
    </row>
    <row r="6" customFormat="false" ht="15" hidden="false" customHeight="true" outlineLevel="0" collapsed="false">
      <c r="A6" s="6" t="s">
        <v>107</v>
      </c>
      <c r="B6" s="13" t="n">
        <f aca="false">COUNTA(Software!B4:B200)</f>
        <v>0</v>
      </c>
      <c r="C6" s="13" t="n">
        <f aca="false">COUNTIF(Software!N4:N200,"4 - Crítico")</f>
        <v>0</v>
      </c>
      <c r="D6" s="13" t="n">
        <f aca="false">COUNTIF(Software!N4:N200,"3 - Alto")</f>
        <v>0</v>
      </c>
      <c r="E6" s="13" t="n">
        <f aca="false">COUNTIF(Software!N4:N200,"2 - Medio")</f>
        <v>0</v>
      </c>
      <c r="F6" s="13" t="n">
        <f aca="false">COUNTIF(Software!N4:N200,"1 - Bajo")</f>
        <v>0</v>
      </c>
      <c r="G6" s="13" t="n">
        <f aca="false">B6-C6-D6-E6-F6</f>
        <v>0</v>
      </c>
    </row>
    <row r="7" customFormat="false" ht="15" hidden="false" customHeight="true" outlineLevel="0" collapsed="false">
      <c r="A7" s="6" t="s">
        <v>108</v>
      </c>
      <c r="B7" s="13" t="n">
        <f aca="false">COUNTA(Servicios!B4:B200)</f>
        <v>0</v>
      </c>
      <c r="C7" s="13" t="n">
        <f aca="false">COUNTIF(Servicios!N4:N200,"4 - Crítico")</f>
        <v>0</v>
      </c>
      <c r="D7" s="13" t="n">
        <f aca="false">COUNTIF(Servicios!N4:N200,"3 - Alto")</f>
        <v>0</v>
      </c>
      <c r="E7" s="13" t="n">
        <f aca="false">COUNTIF(Servicios!N4:N200,"2 - Medio")</f>
        <v>0</v>
      </c>
      <c r="F7" s="13" t="n">
        <f aca="false">COUNTIF(Servicios!N4:N200,"1 - Bajo")</f>
        <v>0</v>
      </c>
      <c r="G7" s="13" t="n">
        <f aca="false">B7-C7-D7-E7-F7</f>
        <v>0</v>
      </c>
    </row>
    <row r="8" customFormat="false" ht="15" hidden="false" customHeight="true" outlineLevel="0" collapsed="false">
      <c r="A8" s="14" t="s">
        <v>109</v>
      </c>
      <c r="B8" s="15" t="n">
        <f aca="false">SUM(B5:B7)</f>
        <v>0</v>
      </c>
      <c r="C8" s="15" t="n">
        <f aca="false">SUM(C5:C7)</f>
        <v>0</v>
      </c>
      <c r="D8" s="15" t="n">
        <f aca="false">SUM(D5:D7)</f>
        <v>0</v>
      </c>
      <c r="E8" s="15" t="n">
        <f aca="false">SUM(E5:E7)</f>
        <v>0</v>
      </c>
      <c r="F8" s="15" t="n">
        <f aca="false">SUM(F5:F7)</f>
        <v>0</v>
      </c>
      <c r="G8" s="15" t="n">
        <f aca="false">SUM(G5:G7)</f>
        <v>0</v>
      </c>
    </row>
    <row r="10" customFormat="false" ht="24" hidden="false" customHeight="true" outlineLevel="0" collapsed="false">
      <c r="A10" s="16" t="s">
        <v>110</v>
      </c>
      <c r="B10" s="16"/>
      <c r="C10" s="16"/>
      <c r="D10" s="16"/>
      <c r="E10" s="16"/>
      <c r="F10" s="16"/>
      <c r="G10" s="16"/>
    </row>
    <row r="11" customFormat="false" ht="21.75" hidden="false" customHeight="true" outlineLevel="0" collapsed="false">
      <c r="A11" s="17" t="s">
        <v>111</v>
      </c>
      <c r="B11" s="18" t="s">
        <v>112</v>
      </c>
      <c r="C11" s="18"/>
      <c r="D11" s="18"/>
      <c r="E11" s="18"/>
      <c r="F11" s="18"/>
      <c r="G11" s="18"/>
    </row>
    <row r="12" customFormat="false" ht="21.75" hidden="false" customHeight="true" outlineLevel="0" collapsed="false">
      <c r="A12" s="19" t="s">
        <v>113</v>
      </c>
      <c r="B12" s="20" t="s">
        <v>114</v>
      </c>
      <c r="C12" s="20"/>
      <c r="D12" s="20"/>
      <c r="E12" s="20"/>
      <c r="F12" s="20"/>
      <c r="G12" s="20"/>
    </row>
    <row r="13" customFormat="false" ht="21.75" hidden="false" customHeight="true" outlineLevel="0" collapsed="false">
      <c r="A13" s="21" t="s">
        <v>115</v>
      </c>
      <c r="B13" s="22" t="s">
        <v>116</v>
      </c>
      <c r="C13" s="22"/>
      <c r="D13" s="22"/>
      <c r="E13" s="22"/>
      <c r="F13" s="22"/>
      <c r="G13" s="22"/>
    </row>
    <row r="14" customFormat="false" ht="21.75" hidden="false" customHeight="true" outlineLevel="0" collapsed="false">
      <c r="A14" s="23" t="s">
        <v>117</v>
      </c>
      <c r="B14" s="24" t="s">
        <v>118</v>
      </c>
      <c r="C14" s="24"/>
      <c r="D14" s="24"/>
      <c r="E14" s="24"/>
      <c r="F14" s="24"/>
      <c r="G14" s="24"/>
    </row>
    <row r="16" customFormat="false" ht="15" hidden="false" customHeight="true" outlineLevel="0" collapsed="false">
      <c r="A16" s="25" t="s">
        <v>119</v>
      </c>
      <c r="B16" s="25"/>
      <c r="C16" s="25"/>
      <c r="D16" s="25"/>
      <c r="E16" s="25"/>
      <c r="F16" s="25"/>
      <c r="G16" s="25"/>
    </row>
  </sheetData>
  <mergeCells count="8">
    <mergeCell ref="A1:L1"/>
    <mergeCell ref="A2:L2"/>
    <mergeCell ref="A10:G10"/>
    <mergeCell ref="B11:G11"/>
    <mergeCell ref="B12:G12"/>
    <mergeCell ref="B13:G13"/>
    <mergeCell ref="B14:G14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20"/>
  </cols>
  <sheetData>
    <row r="1" customFormat="false" ht="31.5" hidden="false" customHeight="true" outlineLevel="0" collapsed="false">
      <c r="A1" s="2" t="s">
        <v>120</v>
      </c>
      <c r="B1" s="2"/>
      <c r="C1" s="2"/>
      <c r="D1" s="2"/>
      <c r="E1" s="2"/>
      <c r="F1" s="2"/>
    </row>
    <row r="3" customFormat="false" ht="21.75" hidden="false" customHeight="true" outlineLevel="0" collapsed="false">
      <c r="A3" s="26" t="s">
        <v>121</v>
      </c>
      <c r="B3" s="26"/>
      <c r="C3" s="26"/>
      <c r="D3" s="26"/>
      <c r="E3" s="26"/>
      <c r="F3" s="26"/>
    </row>
    <row r="4" customFormat="false" ht="39.75" hidden="false" customHeight="true" outlineLevel="0" collapsed="false">
      <c r="A4" s="27" t="s">
        <v>122</v>
      </c>
      <c r="B4" s="27"/>
      <c r="C4" s="27"/>
      <c r="D4" s="27"/>
      <c r="E4" s="27"/>
      <c r="F4" s="27"/>
    </row>
    <row r="6" customFormat="false" ht="21.75" hidden="false" customHeight="true" outlineLevel="0" collapsed="false">
      <c r="A6" s="26" t="s">
        <v>123</v>
      </c>
      <c r="B6" s="26"/>
      <c r="C6" s="26"/>
      <c r="D6" s="26"/>
      <c r="E6" s="26"/>
      <c r="F6" s="26"/>
    </row>
    <row r="7" customFormat="false" ht="90" hidden="false" customHeight="true" outlineLevel="0" collapsed="false">
      <c r="A7" s="27" t="s">
        <v>124</v>
      </c>
      <c r="B7" s="27"/>
      <c r="C7" s="27"/>
      <c r="D7" s="27"/>
      <c r="E7" s="27"/>
      <c r="F7" s="27"/>
    </row>
    <row r="9" customFormat="false" ht="21.75" hidden="false" customHeight="true" outlineLevel="0" collapsed="false">
      <c r="A9" s="26" t="s">
        <v>125</v>
      </c>
      <c r="B9" s="26"/>
      <c r="C9" s="26"/>
      <c r="D9" s="26"/>
      <c r="E9" s="26"/>
      <c r="F9" s="26"/>
    </row>
    <row r="10" customFormat="false" ht="39.75" hidden="false" customHeight="true" outlineLevel="0" collapsed="false">
      <c r="A10" s="27" t="s">
        <v>126</v>
      </c>
      <c r="B10" s="27"/>
      <c r="C10" s="27"/>
      <c r="D10" s="27"/>
      <c r="E10" s="27"/>
      <c r="F10" s="27"/>
    </row>
    <row r="12" customFormat="false" ht="21.75" hidden="false" customHeight="true" outlineLevel="0" collapsed="false">
      <c r="A12" s="26" t="s">
        <v>127</v>
      </c>
      <c r="B12" s="26"/>
      <c r="C12" s="26"/>
      <c r="D12" s="26"/>
      <c r="E12" s="26"/>
      <c r="F12" s="26"/>
    </row>
    <row r="13" customFormat="false" ht="39.75" hidden="false" customHeight="true" outlineLevel="0" collapsed="false">
      <c r="A13" s="27" t="s">
        <v>128</v>
      </c>
      <c r="B13" s="27"/>
      <c r="C13" s="27"/>
      <c r="D13" s="27"/>
      <c r="E13" s="27"/>
      <c r="F13" s="27"/>
    </row>
    <row r="15" customFormat="false" ht="21.75" hidden="false" customHeight="true" outlineLevel="0" collapsed="false">
      <c r="A15" s="26" t="s">
        <v>129</v>
      </c>
      <c r="B15" s="26"/>
      <c r="C15" s="26"/>
      <c r="D15" s="26"/>
      <c r="E15" s="26"/>
      <c r="F15" s="26"/>
    </row>
    <row r="16" customFormat="false" ht="39.75" hidden="false" customHeight="true" outlineLevel="0" collapsed="false">
      <c r="A16" s="27" t="s">
        <v>130</v>
      </c>
      <c r="B16" s="27"/>
      <c r="C16" s="27"/>
      <c r="D16" s="27"/>
      <c r="E16" s="27"/>
      <c r="F16" s="27"/>
    </row>
    <row r="18" customFormat="false" ht="21.75" hidden="false" customHeight="true" outlineLevel="0" collapsed="false">
      <c r="A18" s="26" t="s">
        <v>131</v>
      </c>
      <c r="B18" s="26"/>
      <c r="C18" s="26"/>
      <c r="D18" s="26"/>
      <c r="E18" s="26"/>
      <c r="F18" s="26"/>
    </row>
    <row r="19" customFormat="false" ht="39.75" hidden="false" customHeight="true" outlineLevel="0" collapsed="false">
      <c r="A19" s="27" t="s">
        <v>132</v>
      </c>
      <c r="B19" s="27"/>
      <c r="C19" s="27"/>
      <c r="D19" s="27"/>
      <c r="E19" s="27"/>
      <c r="F19" s="27"/>
    </row>
    <row r="21" customFormat="false" ht="21.75" hidden="false" customHeight="true" outlineLevel="0" collapsed="false">
      <c r="A21" s="28" t="s">
        <v>133</v>
      </c>
      <c r="B21" s="28"/>
      <c r="C21" s="28"/>
      <c r="D21" s="28"/>
      <c r="E21" s="28"/>
      <c r="F21" s="28"/>
    </row>
    <row r="22" customFormat="false" ht="39.75" hidden="false" customHeight="true" outlineLevel="0" collapsed="false">
      <c r="A22" s="27" t="s">
        <v>134</v>
      </c>
      <c r="B22" s="27"/>
      <c r="C22" s="27"/>
      <c r="D22" s="27"/>
      <c r="E22" s="27"/>
      <c r="F22" s="27"/>
    </row>
    <row r="24" customFormat="false" ht="21.75" hidden="false" customHeight="true" outlineLevel="0" collapsed="false">
      <c r="A24" s="26" t="s">
        <v>135</v>
      </c>
      <c r="B24" s="26"/>
      <c r="C24" s="26"/>
      <c r="D24" s="26"/>
      <c r="E24" s="26"/>
      <c r="F24" s="26"/>
    </row>
    <row r="25" customFormat="false" ht="54" hidden="false" customHeight="true" outlineLevel="0" collapsed="false">
      <c r="A25" s="27" t="s">
        <v>136</v>
      </c>
      <c r="B25" s="27"/>
      <c r="C25" s="27"/>
      <c r="D25" s="27"/>
      <c r="E25" s="27"/>
      <c r="F25" s="27"/>
    </row>
  </sheetData>
  <mergeCells count="17">
    <mergeCell ref="A1:F1"/>
    <mergeCell ref="A3:F3"/>
    <mergeCell ref="A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2026-04-22T15:43:42Z</dcterms:created>
  <dc:creator>openpyxl</dc:creator>
  <dc:description/>
  <dc:language>en-US</dc:language>
  <cp:lastModifiedBy/>
  <dcterms:modified xsi:type="dcterms:W3CDTF">2026-04-22T15:44:01Z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