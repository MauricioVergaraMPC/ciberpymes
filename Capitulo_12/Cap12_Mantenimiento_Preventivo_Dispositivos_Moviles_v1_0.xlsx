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BDF5566ECCA0D933E5DC51ADCE5D14AC16121FD4" xr6:coauthVersionLast="47" xr6:coauthVersionMax="47" xr10:uidLastSave="{0F905C0E-E552-4FF4-B5CE-B93A85FEBA52}"/>
  <bookViews>
    <workbookView xWindow="30630" yWindow="1410" windowWidth="22500" windowHeight="12225" tabRatio="500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F7" i="2"/>
  <c r="E7" i="2"/>
  <c r="D7" i="2"/>
  <c r="C7" i="2"/>
  <c r="F6" i="2"/>
  <c r="E6" i="2"/>
  <c r="D6" i="2"/>
  <c r="C6" i="2"/>
  <c r="F5" i="2"/>
  <c r="E5" i="2"/>
  <c r="D5" i="2"/>
  <c r="C5" i="2"/>
  <c r="F4" i="2"/>
  <c r="F8" i="2" s="1"/>
  <c r="E4" i="2"/>
  <c r="E8" i="2" s="1"/>
  <c r="D4" i="2"/>
  <c r="D8" i="2" s="1"/>
  <c r="C4" i="2"/>
  <c r="C8" i="2" s="1"/>
</calcChain>
</file>

<file path=xl/sharedStrings.xml><?xml version="1.0" encoding="utf-8"?>
<sst xmlns="http://schemas.openxmlformats.org/spreadsheetml/2006/main" count="62" uniqueCount="39">
  <si>
    <t>CIBERPROTECCIÓN PARA PyMES  ·  Capítulo 12 — Móviles</t>
  </si>
  <si>
    <t>Mantenimiento Preventivo de Dispositivos Móviles</t>
  </si>
  <si>
    <t>Frecuencia</t>
  </si>
  <si>
    <t>N°</t>
  </si>
  <si>
    <t>Tarea de mantenimiento</t>
  </si>
  <si>
    <t>Estado</t>
  </si>
  <si>
    <t>Responsable</t>
  </si>
  <si>
    <t>Fecha de ejecución</t>
  </si>
  <si>
    <t>Observaciones</t>
  </si>
  <si>
    <t>SEMANAL</t>
  </si>
  <si>
    <t>Revisar los KRI-MOV-01, KRI-MOV-02 y KRI-MOV-04 (SO por debajo de la línea base, dispositivos sin sincronización con la consola MDM, aplicaciones no autorizadas instaladas).</t>
  </si>
  <si>
    <t>Pendiente</t>
  </si>
  <si>
    <t>Monitorizar las alertas generadas por la consola MDM durante la semana y confirmar su atención.</t>
  </si>
  <si>
    <t>MENSUAL</t>
  </si>
  <si>
    <t>Verificar el estado de cumplimiento de la línea base de seguridad (Tabla 12.1) en el conjunto de la flota y documentar el porcentaje de dispositivos conformes.</t>
  </si>
  <si>
    <t>Verificar que las copias de seguridad configuradas se están ejecutando correctamente y que el almacenamiento disponible en la cuenta de respaldo no está próximo a agotarse.</t>
  </si>
  <si>
    <t>Revisar el listado de aplicaciones con actualizaciones pendientes por más de 72 horas y escalar los casos no resueltos.</t>
  </si>
  <si>
    <t>Verificar los accesos a recursos corporativos desde dispositivos móviles (correo, VPN, aplicaciones de negocio) y contrastarlos contra el inventario autorizado.</t>
  </si>
  <si>
    <t>Revisar el estado de licenciamiento de la plataforma MDM (dispositivos enrolados frente a licencias contratadas).</t>
  </si>
  <si>
    <t>TRIMESTRAL</t>
  </si>
  <si>
    <t>Ejecutar la revisión completa del inventario de dispositivos móviles, cruzando la plataforma MDM, los accesos activos y una encuesta a los colaboradores.</t>
  </si>
  <si>
    <t>Identificar dispositivos inactivos, usuarios desvinculados con accesos activos y equipos sin sincronización por un período prolongado.</t>
  </si>
  <si>
    <t>Verificar la vigencia de los certificados digitales utilizados por el perfil MDM (certificado APNs para iOS, certificado de gestión de Android Enterprise) y gestionar su renovación antes del vencimiento.</t>
  </si>
  <si>
    <t>Contrastar los acuerdos de BYOD firmados contra el listado de dispositivos BYOD activos (KRI-MOV-06) y regularizar los casos pendientes.</t>
  </si>
  <si>
    <t>ANUAL</t>
  </si>
  <si>
    <t>Revisar y actualizar la línea base de seguridad (Tabla 12.1) conforme a nuevas versiones de sistema operativo liberadas por los fabricantes.</t>
  </si>
  <si>
    <t>Revisar y actualizar la Política de Uso de Dispositivos Móviles Corporativos y la Política de BYOD.</t>
  </si>
  <si>
    <t>Ejecutar un análisis forense con el Mobile Verification Toolkit (MVT) en los dispositivos de perfiles de alto riesgo.</t>
  </si>
  <si>
    <t>Identificar los dispositivos en estado de fin de soporte (EOL) dentro de la flota, documentar el riesgo asociado y escalar la decisión de reemplazo.</t>
  </si>
  <si>
    <t>Revisar los contratos de soporte y licenciamiento de la plataforma MDM y gestionar su renovación.</t>
  </si>
  <si>
    <t>Revisar y actualizar los procedimientos de incorporación, retiro y respuesta a incidentes de dispositivos móviles.</t>
  </si>
  <si>
    <t>TOTAL TAREAS</t>
  </si>
  <si>
    <t>Dashboard — Estado del Mantenimiento Preventivo</t>
  </si>
  <si>
    <t>Total tareas</t>
  </si>
  <si>
    <t>En progreso</t>
  </si>
  <si>
    <t>Completada</t>
  </si>
  <si>
    <t>No aplica</t>
  </si>
  <si>
    <t>TOTAL GENERAL</t>
  </si>
  <si>
    <t>Nota: cambie el estado de cada tarea en la hoja Checklist.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</si>
</sst>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555555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i/>
      <sz val="9"/>
      <color rgb="FF555555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2E6DA4"/>
        <bgColor rgb="FF185FA5"/>
      </patternFill>
    </fill>
    <fill>
      <patternFill patternType="solid">
        <fgColor rgb="FFFFFFFF"/>
        <bgColor rgb="FFEBF3FB"/>
      </patternFill>
    </fill>
    <fill>
      <patternFill patternType="solid">
        <fgColor rgb="FFBA7517"/>
        <bgColor rgb="FFFF6600"/>
      </patternFill>
    </fill>
    <fill>
      <patternFill patternType="solid">
        <fgColor rgb="FF3B6D11"/>
        <bgColor rgb="FF555555"/>
      </patternFill>
    </fill>
    <fill>
      <patternFill patternType="solid">
        <fgColor rgb="FFA32D2D"/>
        <bgColor rgb="FF993366"/>
      </patternFill>
    </fill>
    <fill>
      <patternFill patternType="solid">
        <fgColor rgb="FFB5D4F4"/>
        <bgColor rgb="FF99CCFF"/>
      </patternFill>
    </fill>
    <fill>
      <patternFill patternType="solid">
        <fgColor rgb="FFEBF3FB"/>
        <bgColor rgb="FFFFFFFF"/>
      </patternFill>
    </fill>
  </fills>
  <borders count="3">
    <border>
      <left/>
      <right/>
      <top/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0" fillId="5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7" fillId="10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FFFCC"/>
      <rgbColor rgb="FFEBF3FB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sqref="A1:G1"/>
    </sheetView>
  </sheetViews>
  <sheetFormatPr baseColWidth="10" defaultColWidth="8.7109375" defaultRowHeight="15" x14ac:dyDescent="0.25"/>
  <cols>
    <col min="1" max="1" width="14" customWidth="1"/>
    <col min="2" max="2" width="4" customWidth="1"/>
    <col min="3" max="3" width="72" customWidth="1"/>
    <col min="4" max="4" width="16" customWidth="1"/>
    <col min="5" max="5" width="18" customWidth="1"/>
    <col min="6" max="6" width="16" customWidth="1"/>
    <col min="7" max="7" width="30" customWidth="1"/>
  </cols>
  <sheetData>
    <row r="1" spans="1:7" ht="27.75" customHeight="1" x14ac:dyDescent="0.25">
      <c r="A1" s="8" t="s">
        <v>0</v>
      </c>
      <c r="B1" s="8"/>
      <c r="C1" s="8"/>
      <c r="D1" s="8"/>
      <c r="E1" s="8"/>
      <c r="F1" s="8"/>
      <c r="G1" s="8"/>
    </row>
    <row r="2" spans="1:7" ht="21.75" customHeight="1" x14ac:dyDescent="0.25">
      <c r="A2" s="7" t="s">
        <v>1</v>
      </c>
      <c r="B2" s="7"/>
      <c r="C2" s="7"/>
      <c r="D2" s="7"/>
      <c r="E2" s="7"/>
      <c r="F2" s="7"/>
      <c r="G2" s="7"/>
    </row>
    <row r="3" spans="1:7" ht="27.75" customHeight="1" x14ac:dyDescent="0.2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pans="1:7" ht="27.75" customHeight="1" x14ac:dyDescent="0.25">
      <c r="A4" s="6" t="s">
        <v>9</v>
      </c>
      <c r="B4" s="10">
        <v>1</v>
      </c>
      <c r="C4" s="11" t="s">
        <v>10</v>
      </c>
      <c r="D4" s="12" t="s">
        <v>11</v>
      </c>
      <c r="E4" s="12"/>
      <c r="F4" s="12"/>
      <c r="G4" s="11"/>
    </row>
    <row r="5" spans="1:7" ht="27.75" customHeight="1" x14ac:dyDescent="0.25">
      <c r="A5" s="6"/>
      <c r="B5" s="10">
        <v>2</v>
      </c>
      <c r="C5" s="11" t="s">
        <v>12</v>
      </c>
      <c r="D5" s="12" t="s">
        <v>11</v>
      </c>
      <c r="E5" s="12"/>
      <c r="F5" s="12"/>
      <c r="G5" s="11"/>
    </row>
    <row r="6" spans="1:7" ht="27.75" customHeight="1" x14ac:dyDescent="0.25">
      <c r="A6" s="5" t="s">
        <v>13</v>
      </c>
      <c r="B6" s="10">
        <v>1</v>
      </c>
      <c r="C6" s="11" t="s">
        <v>14</v>
      </c>
      <c r="D6" s="12" t="s">
        <v>11</v>
      </c>
      <c r="E6" s="12"/>
      <c r="F6" s="12"/>
      <c r="G6" s="11"/>
    </row>
    <row r="7" spans="1:7" ht="27.75" customHeight="1" x14ac:dyDescent="0.25">
      <c r="A7" s="5"/>
      <c r="B7" s="10">
        <v>2</v>
      </c>
      <c r="C7" s="11" t="s">
        <v>15</v>
      </c>
      <c r="D7" s="12" t="s">
        <v>11</v>
      </c>
      <c r="E7" s="12"/>
      <c r="F7" s="12"/>
      <c r="G7" s="11"/>
    </row>
    <row r="8" spans="1:7" ht="27.75" customHeight="1" x14ac:dyDescent="0.25">
      <c r="A8" s="5"/>
      <c r="B8" s="10">
        <v>3</v>
      </c>
      <c r="C8" s="11" t="s">
        <v>16</v>
      </c>
      <c r="D8" s="12" t="s">
        <v>11</v>
      </c>
      <c r="E8" s="12"/>
      <c r="F8" s="12"/>
      <c r="G8" s="11"/>
    </row>
    <row r="9" spans="1:7" ht="27.75" customHeight="1" x14ac:dyDescent="0.25">
      <c r="A9" s="5"/>
      <c r="B9" s="10">
        <v>4</v>
      </c>
      <c r="C9" s="11" t="s">
        <v>17</v>
      </c>
      <c r="D9" s="12" t="s">
        <v>11</v>
      </c>
      <c r="E9" s="12"/>
      <c r="F9" s="12"/>
      <c r="G9" s="11"/>
    </row>
    <row r="10" spans="1:7" ht="27.75" customHeight="1" x14ac:dyDescent="0.25">
      <c r="A10" s="5"/>
      <c r="B10" s="10">
        <v>5</v>
      </c>
      <c r="C10" s="11" t="s">
        <v>18</v>
      </c>
      <c r="D10" s="12" t="s">
        <v>11</v>
      </c>
      <c r="E10" s="12"/>
      <c r="F10" s="12"/>
      <c r="G10" s="11"/>
    </row>
    <row r="11" spans="1:7" ht="27.75" customHeight="1" x14ac:dyDescent="0.25">
      <c r="A11" s="4" t="s">
        <v>19</v>
      </c>
      <c r="B11" s="10">
        <v>1</v>
      </c>
      <c r="C11" s="11" t="s">
        <v>20</v>
      </c>
      <c r="D11" s="12" t="s">
        <v>11</v>
      </c>
      <c r="E11" s="12"/>
      <c r="F11" s="12"/>
      <c r="G11" s="11"/>
    </row>
    <row r="12" spans="1:7" ht="27.75" customHeight="1" x14ac:dyDescent="0.25">
      <c r="A12" s="4"/>
      <c r="B12" s="10">
        <v>2</v>
      </c>
      <c r="C12" s="11" t="s">
        <v>21</v>
      </c>
      <c r="D12" s="12" t="s">
        <v>11</v>
      </c>
      <c r="E12" s="12"/>
      <c r="F12" s="12"/>
      <c r="G12" s="11"/>
    </row>
    <row r="13" spans="1:7" ht="27.75" customHeight="1" x14ac:dyDescent="0.25">
      <c r="A13" s="4"/>
      <c r="B13" s="10">
        <v>3</v>
      </c>
      <c r="C13" s="11" t="s">
        <v>22</v>
      </c>
      <c r="D13" s="12" t="s">
        <v>11</v>
      </c>
      <c r="E13" s="12"/>
      <c r="F13" s="12"/>
      <c r="G13" s="11"/>
    </row>
    <row r="14" spans="1:7" ht="27.75" customHeight="1" x14ac:dyDescent="0.25">
      <c r="A14" s="4"/>
      <c r="B14" s="10">
        <v>4</v>
      </c>
      <c r="C14" s="11" t="s">
        <v>23</v>
      </c>
      <c r="D14" s="12" t="s">
        <v>11</v>
      </c>
      <c r="E14" s="12"/>
      <c r="F14" s="12"/>
      <c r="G14" s="11"/>
    </row>
    <row r="15" spans="1:7" ht="27.75" customHeight="1" x14ac:dyDescent="0.25">
      <c r="A15" s="3" t="s">
        <v>24</v>
      </c>
      <c r="B15" s="10">
        <v>1</v>
      </c>
      <c r="C15" s="11" t="s">
        <v>25</v>
      </c>
      <c r="D15" s="12" t="s">
        <v>11</v>
      </c>
      <c r="E15" s="12"/>
      <c r="F15" s="12"/>
      <c r="G15" s="11"/>
    </row>
    <row r="16" spans="1:7" ht="27.75" customHeight="1" x14ac:dyDescent="0.25">
      <c r="A16" s="3"/>
      <c r="B16" s="10">
        <v>2</v>
      </c>
      <c r="C16" s="11" t="s">
        <v>26</v>
      </c>
      <c r="D16" s="12" t="s">
        <v>11</v>
      </c>
      <c r="E16" s="12"/>
      <c r="F16" s="12"/>
      <c r="G16" s="11"/>
    </row>
    <row r="17" spans="1:7" ht="27.75" customHeight="1" x14ac:dyDescent="0.25">
      <c r="A17" s="3"/>
      <c r="B17" s="10">
        <v>3</v>
      </c>
      <c r="C17" s="11" t="s">
        <v>27</v>
      </c>
      <c r="D17" s="12" t="s">
        <v>11</v>
      </c>
      <c r="E17" s="12"/>
      <c r="F17" s="12"/>
      <c r="G17" s="11"/>
    </row>
    <row r="18" spans="1:7" ht="27.75" customHeight="1" x14ac:dyDescent="0.25">
      <c r="A18" s="3"/>
      <c r="B18" s="10">
        <v>4</v>
      </c>
      <c r="C18" s="11" t="s">
        <v>28</v>
      </c>
      <c r="D18" s="12" t="s">
        <v>11</v>
      </c>
      <c r="E18" s="12"/>
      <c r="F18" s="12"/>
      <c r="G18" s="11"/>
    </row>
    <row r="19" spans="1:7" ht="27.75" customHeight="1" x14ac:dyDescent="0.25">
      <c r="A19" s="3"/>
      <c r="B19" s="10">
        <v>5</v>
      </c>
      <c r="C19" s="11" t="s">
        <v>29</v>
      </c>
      <c r="D19" s="12" t="s">
        <v>11</v>
      </c>
      <c r="E19" s="12"/>
      <c r="F19" s="12"/>
      <c r="G19" s="11"/>
    </row>
    <row r="20" spans="1:7" ht="27.75" customHeight="1" x14ac:dyDescent="0.25">
      <c r="A20" s="3"/>
      <c r="B20" s="10">
        <v>6</v>
      </c>
      <c r="C20" s="11" t="s">
        <v>30</v>
      </c>
      <c r="D20" s="12" t="s">
        <v>11</v>
      </c>
      <c r="E20" s="12"/>
      <c r="F20" s="12"/>
      <c r="G20" s="11"/>
    </row>
    <row r="21" spans="1:7" ht="15" customHeight="1" x14ac:dyDescent="0.25">
      <c r="A21" s="2" t="s">
        <v>31</v>
      </c>
      <c r="B21" s="2"/>
      <c r="C21" s="13">
        <v>17</v>
      </c>
      <c r="D21" s="14"/>
      <c r="E21" s="14"/>
      <c r="F21" s="14"/>
      <c r="G21" s="14"/>
    </row>
  </sheetData>
  <mergeCells count="7">
    <mergeCell ref="A15:A20"/>
    <mergeCell ref="A21:B21"/>
    <mergeCell ref="A1:G1"/>
    <mergeCell ref="A2:G2"/>
    <mergeCell ref="A4:A5"/>
    <mergeCell ref="A6:A10"/>
    <mergeCell ref="A11:A14"/>
  </mergeCells>
  <dataValidations count="1">
    <dataValidation type="list" allowBlank="1" sqref="D4:D20" xr:uid="{00000000-0002-0000-0000-000000000000}">
      <formula1>"Pendiente,En progreso,Completada,No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zoomScaleNormal="100" workbookViewId="0"/>
  </sheetViews>
  <sheetFormatPr baseColWidth="10" defaultColWidth="8.7109375" defaultRowHeight="15" x14ac:dyDescent="0.25"/>
  <cols>
    <col min="1" max="1" width="26" customWidth="1"/>
    <col min="2" max="6" width="14" customWidth="1"/>
  </cols>
  <sheetData>
    <row r="1" spans="1:6" ht="27.75" customHeight="1" x14ac:dyDescent="0.25">
      <c r="A1" s="8" t="s">
        <v>0</v>
      </c>
      <c r="B1" s="8"/>
      <c r="C1" s="8"/>
      <c r="D1" s="8"/>
      <c r="E1" s="8"/>
      <c r="F1" s="8"/>
    </row>
    <row r="2" spans="1:6" ht="21.75" customHeight="1" x14ac:dyDescent="0.25">
      <c r="A2" s="7" t="s">
        <v>32</v>
      </c>
      <c r="B2" s="7"/>
      <c r="C2" s="7"/>
      <c r="D2" s="7"/>
      <c r="E2" s="7"/>
      <c r="F2" s="7"/>
    </row>
    <row r="3" spans="1:6" x14ac:dyDescent="0.25">
      <c r="A3" s="9" t="s">
        <v>2</v>
      </c>
      <c r="B3" s="9" t="s">
        <v>33</v>
      </c>
      <c r="C3" s="9" t="s">
        <v>11</v>
      </c>
      <c r="D3" s="9" t="s">
        <v>34</v>
      </c>
      <c r="E3" s="9" t="s">
        <v>35</v>
      </c>
      <c r="F3" s="9" t="s">
        <v>36</v>
      </c>
    </row>
    <row r="4" spans="1:6" x14ac:dyDescent="0.25">
      <c r="A4" s="15" t="s">
        <v>9</v>
      </c>
      <c r="B4" s="12">
        <v>2</v>
      </c>
      <c r="C4" s="16">
        <f>COUNTIF(Checklist!D4:D5,"Pendiente")</f>
        <v>2</v>
      </c>
      <c r="D4" s="16">
        <f>COUNTIF(Checklist!D4:D5,"En progreso")</f>
        <v>0</v>
      </c>
      <c r="E4" s="16">
        <f>COUNTIF(Checklist!D4:D5,"Completada")</f>
        <v>0</v>
      </c>
      <c r="F4" s="16">
        <f>COUNTIF(Checklist!D4:D5,"No aplica")</f>
        <v>0</v>
      </c>
    </row>
    <row r="5" spans="1:6" x14ac:dyDescent="0.25">
      <c r="A5" s="15" t="s">
        <v>13</v>
      </c>
      <c r="B5" s="12">
        <v>5</v>
      </c>
      <c r="C5" s="16">
        <f>COUNTIF(Checklist!D6:D10,"Pendiente")</f>
        <v>5</v>
      </c>
      <c r="D5" s="16">
        <f>COUNTIF(Checklist!D6:D10,"En progreso")</f>
        <v>0</v>
      </c>
      <c r="E5" s="16">
        <f>COUNTIF(Checklist!D6:D10,"Completada")</f>
        <v>0</v>
      </c>
      <c r="F5" s="16">
        <f>COUNTIF(Checklist!D6:D10,"No aplica")</f>
        <v>0</v>
      </c>
    </row>
    <row r="6" spans="1:6" x14ac:dyDescent="0.25">
      <c r="A6" s="15" t="s">
        <v>19</v>
      </c>
      <c r="B6" s="12">
        <v>4</v>
      </c>
      <c r="C6" s="16">
        <f>COUNTIF(Checklist!D11:D14,"Pendiente")</f>
        <v>4</v>
      </c>
      <c r="D6" s="16">
        <f>COUNTIF(Checklist!D11:D14,"En progreso")</f>
        <v>0</v>
      </c>
      <c r="E6" s="16">
        <f>COUNTIF(Checklist!D11:D14,"Completada")</f>
        <v>0</v>
      </c>
      <c r="F6" s="16">
        <f>COUNTIF(Checklist!D11:D14,"No aplica")</f>
        <v>0</v>
      </c>
    </row>
    <row r="7" spans="1:6" x14ac:dyDescent="0.25">
      <c r="A7" s="15" t="s">
        <v>24</v>
      </c>
      <c r="B7" s="12">
        <v>6</v>
      </c>
      <c r="C7" s="16">
        <f>COUNTIF(Checklist!D15:D20,"Pendiente")</f>
        <v>6</v>
      </c>
      <c r="D7" s="16">
        <f>COUNTIF(Checklist!D15:D20,"En progreso")</f>
        <v>0</v>
      </c>
      <c r="E7" s="16">
        <f>COUNTIF(Checklist!D15:D20,"Completada")</f>
        <v>0</v>
      </c>
      <c r="F7" s="16">
        <f>COUNTIF(Checklist!D15:D20,"No aplica")</f>
        <v>0</v>
      </c>
    </row>
    <row r="8" spans="1:6" x14ac:dyDescent="0.25">
      <c r="A8" s="17" t="s">
        <v>37</v>
      </c>
      <c r="B8" s="18">
        <f>SUM(B4:B7)</f>
        <v>17</v>
      </c>
      <c r="C8" s="18">
        <f>SUM(C4:C7)</f>
        <v>17</v>
      </c>
      <c r="D8" s="18">
        <f>SUM(D4:D7)</f>
        <v>0</v>
      </c>
      <c r="E8" s="18">
        <f>SUM(E4:E7)</f>
        <v>0</v>
      </c>
      <c r="F8" s="18">
        <f>SUM(F4:F7)</f>
        <v>0</v>
      </c>
    </row>
    <row r="10" spans="1:6" ht="15" customHeight="1" x14ac:dyDescent="0.25">
      <c r="A10" s="1" t="s">
        <v>38</v>
      </c>
      <c r="B10" s="1"/>
      <c r="C10" s="1"/>
      <c r="D10" s="1"/>
      <c r="E10" s="1"/>
      <c r="F10" s="1"/>
    </row>
  </sheetData>
  <mergeCells count="3">
    <mergeCell ref="A1:F1"/>
    <mergeCell ref="A2:F2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2026-09-17T21:29:10Z</dcterms:created>
  <dcterms:modified xsi:type="dcterms:W3CDTF">2026-09-17T21:51:30Z</dcterms:modified>
  <dc:language>en-US</dc:language>
</cp:coreProperties>
</file>