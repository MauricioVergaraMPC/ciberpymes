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80188C049D33963C54F573CA01376FABD8DA6B9A" xr6:coauthVersionLast="47" xr6:coauthVersionMax="47" xr10:uidLastSave="{C717BE33-713D-4477-9D28-264B96E444DE}"/>
  <bookViews>
    <workbookView xWindow="2730" yWindow="2730" windowWidth="21600" windowHeight="11505" tabRatio="500" xr2:uid="{00000000-000D-0000-FFFF-FFFF00000000}"/>
  </bookViews>
  <sheets>
    <sheet name="Inventario Moviles" sheetId="1" r:id="rId1"/>
    <sheet name="Instrucciones" sheetId="2" r:id="rId2"/>
  </sheets>
  <definedNames>
    <definedName name="_xlnm._FilterDatabase" localSheetId="0" hidden="1">'Inventario Moviles'!$A$5:$P$500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1" l="1"/>
  <c r="D27" i="1"/>
  <c r="D26" i="1"/>
  <c r="D25" i="1"/>
  <c r="D24" i="1"/>
  <c r="D23" i="1"/>
  <c r="D22" i="1"/>
  <c r="D21" i="1"/>
  <c r="D20" i="1"/>
  <c r="D19" i="1"/>
  <c r="D18" i="1"/>
  <c r="D17" i="1"/>
  <c r="D16" i="1"/>
</calcChain>
</file>

<file path=xl/sharedStrings.xml><?xml version="1.0" encoding="utf-8"?>
<sst xmlns="http://schemas.openxmlformats.org/spreadsheetml/2006/main" count="148" uniqueCount="110">
  <si>
    <t>Inventario de Dispositivos Móviles</t>
  </si>
  <si>
    <t>Ciberprotección para PyMES  ·  Capítulo 12 — Dispositivos Móviles  ·  Plantilla 12.4</t>
  </si>
  <si>
    <t>Instrucciones: Complete un registro por cada dispositivo móvil corporativo o BYOD con acceso a recursos de la organización. Los campos marcados con * son obligatorios. Use las listas desplegables donde estén disponibles.</t>
  </si>
  <si>
    <t>ID*</t>
  </si>
  <si>
    <t>Tipo*</t>
  </si>
  <si>
    <t>Marca</t>
  </si>
  <si>
    <t>Modelo</t>
  </si>
  <si>
    <t>Sistema Operativo*</t>
  </si>
  <si>
    <t>Versión instalada*</t>
  </si>
  <si>
    <t>Versión mínima requerida*</t>
  </si>
  <si>
    <t>Estado de cumplimiento*</t>
  </si>
  <si>
    <t>Propietario*</t>
  </si>
  <si>
    <t>Usuario asignado*</t>
  </si>
  <si>
    <t>Área / Depto.</t>
  </si>
  <si>
    <t>Estado MDM*</t>
  </si>
  <si>
    <t>Fecha incorporación*</t>
  </si>
  <si>
    <t>Última sincronización MDM</t>
  </si>
  <si>
    <t>Estado*</t>
  </si>
  <si>
    <t>Observaciones</t>
  </si>
  <si>
    <t>MOV-001</t>
  </si>
  <si>
    <t>Smartphone</t>
  </si>
  <si>
    <t>Samsung</t>
  </si>
  <si>
    <t>Galaxy S23</t>
  </si>
  <si>
    <t>Android</t>
  </si>
  <si>
    <t>14</t>
  </si>
  <si>
    <t>Android 12</t>
  </si>
  <si>
    <t>Cumple</t>
  </si>
  <si>
    <t>Corporativo</t>
  </si>
  <si>
    <t>María García</t>
  </si>
  <si>
    <t>Contabilidad</t>
  </si>
  <si>
    <t>Enrolado</t>
  </si>
  <si>
    <t>15/03/2024</t>
  </si>
  <si>
    <t>15/06/2024</t>
  </si>
  <si>
    <t>Activo</t>
  </si>
  <si>
    <t>MOV-002</t>
  </si>
  <si>
    <t>Apple</t>
  </si>
  <si>
    <t>iPhone 15</t>
  </si>
  <si>
    <t>iOS</t>
  </si>
  <si>
    <t>17.4</t>
  </si>
  <si>
    <t>iOS 16</t>
  </si>
  <si>
    <t>Carlos López</t>
  </si>
  <si>
    <t>Gerencia</t>
  </si>
  <si>
    <t>20/03/2024</t>
  </si>
  <si>
    <t>20/06/2024</t>
  </si>
  <si>
    <t>Dispositivo del gerente general</t>
  </si>
  <si>
    <t>MOV-003</t>
  </si>
  <si>
    <t>Tableta</t>
  </si>
  <si>
    <t>iPad Pro</t>
  </si>
  <si>
    <t>iPadOS</t>
  </si>
  <si>
    <t>iPadOS 16</t>
  </si>
  <si>
    <t>Ana Rodríguez</t>
  </si>
  <si>
    <t>Diseño</t>
  </si>
  <si>
    <t>25/03/2024</t>
  </si>
  <si>
    <t>25/06/2024</t>
  </si>
  <si>
    <t>Tableta para presentaciones de diseño</t>
  </si>
  <si>
    <t>MOV-004</t>
  </si>
  <si>
    <t>Galaxy A54</t>
  </si>
  <si>
    <t>13</t>
  </si>
  <si>
    <t>BYOD</t>
  </si>
  <si>
    <t>Pedro Martínez</t>
  </si>
  <si>
    <t>Ventas</t>
  </si>
  <si>
    <t>10/04/2024</t>
  </si>
  <si>
    <t>10/06/2024</t>
  </si>
  <si>
    <t>BYOD autorizado. Contenedor corporativo activo.</t>
  </si>
  <si>
    <t>MOV-005</t>
  </si>
  <si>
    <t>Motorola</t>
  </si>
  <si>
    <t>Moto G54</t>
  </si>
  <si>
    <t>11</t>
  </si>
  <si>
    <t>No cumple</t>
  </si>
  <si>
    <t>Luis Herrera</t>
  </si>
  <si>
    <t>TI</t>
  </si>
  <si>
    <t>Enrolamiento revocado</t>
  </si>
  <si>
    <t>01/01/2024</t>
  </si>
  <si>
    <t>N/A</t>
  </si>
  <si>
    <t>Inactivo</t>
  </si>
  <si>
    <t>SO por debajo de línea base. Acceso revocado.</t>
  </si>
  <si>
    <t>Resumen del Inventario</t>
  </si>
  <si>
    <t>Total de dispositivos registrados</t>
  </si>
  <si>
    <t>Dispositivos corporativos</t>
  </si>
  <si>
    <t>Dispositivos BYOD</t>
  </si>
  <si>
    <t>Dispositivos que cumplen línea base</t>
  </si>
  <si>
    <t>Dispositivos que NO cumplen línea base</t>
  </si>
  <si>
    <t>Dispositivos pendientes de verificación</t>
  </si>
  <si>
    <t>Dispositivos enrolados en MDM/UEM</t>
  </si>
  <si>
    <t>Dispositivos no enrolados</t>
  </si>
  <si>
    <t>Dispositivos con enrolamiento revocado</t>
  </si>
  <si>
    <t>Dispositivos activos</t>
  </si>
  <si>
    <t>Dispositivos inactivos</t>
  </si>
  <si>
    <t>Dispositivos extraviados</t>
  </si>
  <si>
    <t>Dispositivos retirados</t>
  </si>
  <si>
    <t>Guía de Uso — Inventario de Dispositivos Móviles (Plantilla 12.4)</t>
  </si>
  <si>
    <t>Ciberprotección para PyMES  ·  Capítulo 12 — Dispositivos Móviles</t>
  </si>
  <si>
    <t>Campo</t>
  </si>
  <si>
    <t>Descripción / Instrucciones</t>
  </si>
  <si>
    <t>Identificador único del dispositivo. Use el formato MOV-NNN (ej. MOV-001). No repita IDs. Puede ser generado automáticamente por la plataforma MDM/UEM.</t>
  </si>
  <si>
    <t>Seleccione del menú desplegable: Smartphone o Tableta.</t>
  </si>
  <si>
    <t>Fabricante del dispositivo. Ej: Apple, Samsung, Motorola, Xiaomi.</t>
  </si>
  <si>
    <t>Nombre comercial exacto del modelo. Ej: iPhone 15 Pro, Galaxy S23, iPad Pro 12.9.</t>
  </si>
  <si>
    <t>Seleccione del menú: Android, iOS o iPadOS. No combine plataforma y versión en este campo.</t>
  </si>
  <si>
    <t>Versión actual del SO instalada en el dispositivo. En Android: Ajustes &gt; Acerca del dispositivo. En iOS/iPadOS: Configuración &gt; General &gt; Acerca de.</t>
  </si>
  <si>
    <t>Versión mínima definida en la línea base de seguridad de la organización. Referencia: Android 12 / iOS 16 / iPadOS 16 (o superior según política vigente).</t>
  </si>
  <si>
    <t>Cumple: la versión instalada es igual o superior a la mínima requerida. No cumple: versión inferior. Pendiente de verificación: no se ha podido comprobar aún.</t>
  </si>
  <si>
    <t>Seleccione del menú: Corporativo (dispositivo de la organización) o BYOD (dispositivo personal del colaborador).</t>
  </si>
  <si>
    <t>Nombre completo del colaborador que usa el dispositivo para actividades laborales. Un dispositivo = un usuario nominal.</t>
  </si>
  <si>
    <t>Área o departamento al que pertenece el usuario asignado.</t>
  </si>
  <si>
    <t>Enrolado: dispositivo activo en consola MDM/UEM. No enrolado: dispositivo con acceso a recursos corporativos pero sin enrolamiento (situación a regularizar). Enrolamiento revocado: acceso corporativo eliminado.</t>
  </si>
  <si>
    <t>Fecha en que el dispositivo fue registrado en el inventario y autorizado para acceder a recursos corporativos.</t>
  </si>
  <si>
    <t>Fecha de la última vez que el dispositivo contactó la consola MDM/UEM. Dispositivos sin sincronización por más de 7 días activan KRI-MOV-02.</t>
  </si>
  <si>
    <t>Activo: en uso con acceso corporativo vigente. Inactivo: sin actividad registrada. Extraviado: pérdida o robo reportado. Retirado: dado de baja del programa.</t>
  </si>
  <si>
    <t>Notas adicionales: restricciones especiales, historial de incidentes, estado de contenedor BYOD, fecha de próxima revisión,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</si>
</sst>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0" x14ac:knownFonts="1">
    <font>
      <sz val="11"/>
      <color theme="1"/>
      <name val="Calibri"/>
      <family val="2"/>
      <charset val="1"/>
    </font>
    <font>
      <b/>
      <sz val="16"/>
      <color rgb="FF1F3864"/>
      <name val="Calibri"/>
      <charset val="1"/>
    </font>
    <font>
      <sz val="11"/>
      <color rgb="FF5B9BD5"/>
      <name val="Calibri"/>
      <charset val="1"/>
    </font>
    <font>
      <sz val="10"/>
      <color rgb="FF555555"/>
      <name val="Calibri"/>
      <charset val="1"/>
    </font>
    <font>
      <b/>
      <sz val="11"/>
      <color rgb="FFFFFFFF"/>
      <name val="Calibri"/>
      <charset val="1"/>
    </font>
    <font>
      <sz val="11"/>
      <color rgb="FF333333"/>
      <name val="Calibri"/>
      <charset val="1"/>
    </font>
    <font>
      <b/>
      <sz val="12"/>
      <color rgb="FFFFFFFF"/>
      <name val="Calibri"/>
      <charset val="1"/>
    </font>
    <font>
      <b/>
      <sz val="11"/>
      <color rgb="FF333333"/>
      <name val="Calibri"/>
      <charset val="1"/>
    </font>
    <font>
      <b/>
      <sz val="14"/>
      <color rgb="FF1F3864"/>
      <name val="Calibri"/>
      <charset val="1"/>
    </font>
    <font>
      <b/>
      <sz val="11"/>
      <color rgb="FF1F3864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EBF3FB"/>
      </patternFill>
    </fill>
    <fill>
      <patternFill patternType="solid">
        <fgColor rgb="FFFFF2CC"/>
        <bgColor rgb="FFFCE4D6"/>
      </patternFill>
    </fill>
    <fill>
      <patternFill patternType="solid">
        <fgColor rgb="FF185FA5"/>
        <bgColor rgb="FF008080"/>
      </patternFill>
    </fill>
    <fill>
      <patternFill patternType="solid">
        <fgColor rgb="FFEBF3FB"/>
        <b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8" fillId="0" borderId="0" xfId="0" applyFont="1" applyAlignment="1">
      <alignment horizontal="left" vertical="center"/>
    </xf>
    <xf numFmtId="0" fontId="5" fillId="5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top" wrapText="1" indent="1"/>
    </xf>
    <xf numFmtId="0" fontId="5" fillId="2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 indent="1"/>
    </xf>
    <xf numFmtId="0" fontId="5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4">
    <dxf>
      <font>
        <b/>
        <color rgb="FFBA7517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CE4D6"/>
        </patternFill>
      </fill>
    </dxf>
    <dxf>
      <font>
        <color rgb="FF375623"/>
      </font>
      <fill>
        <patternFill>
          <bgColor rgb="FFE2EFDA"/>
        </patternFill>
      </fill>
    </dxf>
    <dxf>
      <font>
        <b/>
        <color rgb="FFC00000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CCCCCC"/>
      <rgbColor rgb="FF808080"/>
      <rgbColor rgb="FF5B9BD5"/>
      <rgbColor rgb="FF993366"/>
      <rgbColor rgb="FFFFF2CC"/>
      <rgbColor rgb="FFEBF3FB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0"/>
  <sheetViews>
    <sheetView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P1"/>
    </sheetView>
  </sheetViews>
  <sheetFormatPr baseColWidth="10" defaultColWidth="8.7109375" defaultRowHeight="15" x14ac:dyDescent="0.25"/>
  <cols>
    <col min="1" max="1" width="10" customWidth="1"/>
    <col min="2" max="2" width="13" customWidth="1"/>
    <col min="3" max="3" width="12" customWidth="1"/>
    <col min="4" max="4" width="18" customWidth="1"/>
    <col min="5" max="5" width="20" customWidth="1"/>
    <col min="6" max="6" width="16" customWidth="1"/>
    <col min="7" max="7" width="20" customWidth="1"/>
    <col min="8" max="8" width="22" customWidth="1"/>
    <col min="9" max="9" width="14" customWidth="1"/>
    <col min="10" max="10" width="22" customWidth="1"/>
    <col min="11" max="11" width="16" customWidth="1"/>
    <col min="12" max="12" width="22" customWidth="1"/>
    <col min="13" max="13" width="18" customWidth="1"/>
    <col min="14" max="14" width="22" customWidth="1"/>
    <col min="15" max="15" width="14" customWidth="1"/>
    <col min="16" max="16" width="30" customWidth="1"/>
  </cols>
  <sheetData>
    <row r="1" spans="1:16" ht="24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18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30" customHeight="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6" customHeight="1" x14ac:dyDescent="0.25"/>
    <row r="5" spans="1:16" ht="31.5" customHeight="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</row>
    <row r="6" spans="1:16" ht="19.5" customHeight="1" x14ac:dyDescent="0.25">
      <c r="A6" s="9" t="s">
        <v>19</v>
      </c>
      <c r="B6" s="9" t="s">
        <v>20</v>
      </c>
      <c r="C6" s="10" t="s">
        <v>21</v>
      </c>
      <c r="D6" s="10" t="s">
        <v>22</v>
      </c>
      <c r="E6" s="10" t="s">
        <v>23</v>
      </c>
      <c r="F6" s="9" t="s">
        <v>24</v>
      </c>
      <c r="G6" s="9" t="s">
        <v>25</v>
      </c>
      <c r="H6" s="9" t="s">
        <v>26</v>
      </c>
      <c r="I6" s="9" t="s">
        <v>27</v>
      </c>
      <c r="J6" s="10" t="s">
        <v>28</v>
      </c>
      <c r="K6" s="10" t="s">
        <v>29</v>
      </c>
      <c r="L6" s="9" t="s">
        <v>30</v>
      </c>
      <c r="M6" s="11" t="s">
        <v>31</v>
      </c>
      <c r="N6" s="11" t="s">
        <v>32</v>
      </c>
      <c r="O6" s="9" t="s">
        <v>33</v>
      </c>
      <c r="P6" s="10"/>
    </row>
    <row r="7" spans="1:16" ht="19.5" customHeight="1" x14ac:dyDescent="0.25">
      <c r="A7" s="12" t="s">
        <v>34</v>
      </c>
      <c r="B7" s="12" t="s">
        <v>20</v>
      </c>
      <c r="C7" s="13" t="s">
        <v>35</v>
      </c>
      <c r="D7" s="13" t="s">
        <v>36</v>
      </c>
      <c r="E7" s="13" t="s">
        <v>37</v>
      </c>
      <c r="F7" s="12" t="s">
        <v>38</v>
      </c>
      <c r="G7" s="12" t="s">
        <v>39</v>
      </c>
      <c r="H7" s="12" t="s">
        <v>26</v>
      </c>
      <c r="I7" s="12" t="s">
        <v>27</v>
      </c>
      <c r="J7" s="13" t="s">
        <v>40</v>
      </c>
      <c r="K7" s="13" t="s">
        <v>41</v>
      </c>
      <c r="L7" s="12" t="s">
        <v>30</v>
      </c>
      <c r="M7" s="14" t="s">
        <v>42</v>
      </c>
      <c r="N7" s="14" t="s">
        <v>43</v>
      </c>
      <c r="O7" s="12" t="s">
        <v>33</v>
      </c>
      <c r="P7" s="13" t="s">
        <v>44</v>
      </c>
    </row>
    <row r="8" spans="1:16" ht="19.5" customHeight="1" x14ac:dyDescent="0.25">
      <c r="A8" s="9" t="s">
        <v>45</v>
      </c>
      <c r="B8" s="9" t="s">
        <v>46</v>
      </c>
      <c r="C8" s="10" t="s">
        <v>35</v>
      </c>
      <c r="D8" s="10" t="s">
        <v>47</v>
      </c>
      <c r="E8" s="10" t="s">
        <v>48</v>
      </c>
      <c r="F8" s="9" t="s">
        <v>38</v>
      </c>
      <c r="G8" s="9" t="s">
        <v>49</v>
      </c>
      <c r="H8" s="9" t="s">
        <v>26</v>
      </c>
      <c r="I8" s="9" t="s">
        <v>27</v>
      </c>
      <c r="J8" s="10" t="s">
        <v>50</v>
      </c>
      <c r="K8" s="10" t="s">
        <v>51</v>
      </c>
      <c r="L8" s="9" t="s">
        <v>30</v>
      </c>
      <c r="M8" s="11" t="s">
        <v>52</v>
      </c>
      <c r="N8" s="11" t="s">
        <v>53</v>
      </c>
      <c r="O8" s="9" t="s">
        <v>33</v>
      </c>
      <c r="P8" s="10" t="s">
        <v>54</v>
      </c>
    </row>
    <row r="9" spans="1:16" ht="19.5" customHeight="1" x14ac:dyDescent="0.25">
      <c r="A9" s="12" t="s">
        <v>55</v>
      </c>
      <c r="B9" s="12" t="s">
        <v>20</v>
      </c>
      <c r="C9" s="13" t="s">
        <v>21</v>
      </c>
      <c r="D9" s="13" t="s">
        <v>56</v>
      </c>
      <c r="E9" s="13" t="s">
        <v>23</v>
      </c>
      <c r="F9" s="12" t="s">
        <v>57</v>
      </c>
      <c r="G9" s="12" t="s">
        <v>25</v>
      </c>
      <c r="H9" s="12" t="s">
        <v>26</v>
      </c>
      <c r="I9" s="12" t="s">
        <v>58</v>
      </c>
      <c r="J9" s="13" t="s">
        <v>59</v>
      </c>
      <c r="K9" s="13" t="s">
        <v>60</v>
      </c>
      <c r="L9" s="12" t="s">
        <v>30</v>
      </c>
      <c r="M9" s="14" t="s">
        <v>61</v>
      </c>
      <c r="N9" s="14" t="s">
        <v>62</v>
      </c>
      <c r="O9" s="12" t="s">
        <v>33</v>
      </c>
      <c r="P9" s="13" t="s">
        <v>63</v>
      </c>
    </row>
    <row r="10" spans="1:16" ht="19.5" customHeight="1" x14ac:dyDescent="0.25">
      <c r="A10" s="9" t="s">
        <v>64</v>
      </c>
      <c r="B10" s="9" t="s">
        <v>20</v>
      </c>
      <c r="C10" s="10" t="s">
        <v>65</v>
      </c>
      <c r="D10" s="10" t="s">
        <v>66</v>
      </c>
      <c r="E10" s="10" t="s">
        <v>23</v>
      </c>
      <c r="F10" s="9" t="s">
        <v>67</v>
      </c>
      <c r="G10" s="9" t="s">
        <v>25</v>
      </c>
      <c r="H10" s="9" t="s">
        <v>68</v>
      </c>
      <c r="I10" s="9" t="s">
        <v>58</v>
      </c>
      <c r="J10" s="10" t="s">
        <v>69</v>
      </c>
      <c r="K10" s="10" t="s">
        <v>70</v>
      </c>
      <c r="L10" s="9" t="s">
        <v>71</v>
      </c>
      <c r="M10" s="11" t="s">
        <v>72</v>
      </c>
      <c r="N10" s="11" t="s">
        <v>73</v>
      </c>
      <c r="O10" s="9" t="s">
        <v>74</v>
      </c>
      <c r="P10" s="10" t="s">
        <v>75</v>
      </c>
    </row>
    <row r="11" spans="1:16" x14ac:dyDescent="0.25">
      <c r="M11" s="15"/>
      <c r="N11" s="15"/>
    </row>
    <row r="12" spans="1:16" x14ac:dyDescent="0.25">
      <c r="M12" s="15"/>
      <c r="N12" s="15"/>
    </row>
    <row r="13" spans="1:16" x14ac:dyDescent="0.25">
      <c r="M13" s="15"/>
      <c r="N13" s="15"/>
    </row>
    <row r="14" spans="1:16" ht="7.5" customHeight="1" x14ac:dyDescent="0.25">
      <c r="M14" s="15"/>
      <c r="N14" s="15"/>
    </row>
    <row r="15" spans="1:16" ht="21.75" customHeight="1" x14ac:dyDescent="0.25">
      <c r="A15" s="4" t="s">
        <v>76</v>
      </c>
      <c r="B15" s="4"/>
      <c r="C15" s="4"/>
      <c r="D15" s="4"/>
      <c r="M15" s="15"/>
      <c r="N15" s="15"/>
    </row>
    <row r="16" spans="1:16" ht="18" customHeight="1" x14ac:dyDescent="0.25">
      <c r="A16" s="3" t="s">
        <v>77</v>
      </c>
      <c r="B16" s="3"/>
      <c r="C16" s="3"/>
      <c r="D16" s="16">
        <f>COUNTA(A6:A500)</f>
        <v>19</v>
      </c>
      <c r="M16" s="15"/>
      <c r="N16" s="15"/>
    </row>
    <row r="17" spans="1:14" ht="18" customHeight="1" x14ac:dyDescent="0.25">
      <c r="A17" s="2" t="s">
        <v>78</v>
      </c>
      <c r="B17" s="2"/>
      <c r="C17" s="2"/>
      <c r="D17" s="17">
        <f>COUNTIF(I6:I500,"Corporativo")</f>
        <v>3</v>
      </c>
      <c r="M17" s="15"/>
      <c r="N17" s="15"/>
    </row>
    <row r="18" spans="1:14" ht="18" customHeight="1" x14ac:dyDescent="0.25">
      <c r="A18" s="3" t="s">
        <v>79</v>
      </c>
      <c r="B18" s="3"/>
      <c r="C18" s="3"/>
      <c r="D18" s="16">
        <f>COUNTIF(I6:I500,"BYOD")</f>
        <v>2</v>
      </c>
      <c r="M18" s="15"/>
      <c r="N18" s="15"/>
    </row>
    <row r="19" spans="1:14" ht="18" customHeight="1" x14ac:dyDescent="0.25">
      <c r="A19" s="2" t="s">
        <v>80</v>
      </c>
      <c r="B19" s="2"/>
      <c r="C19" s="2"/>
      <c r="D19" s="17">
        <f>COUNTIF(H6:H500,"Cumple")</f>
        <v>4</v>
      </c>
      <c r="M19" s="15"/>
      <c r="N19" s="15"/>
    </row>
    <row r="20" spans="1:14" ht="18" customHeight="1" x14ac:dyDescent="0.25">
      <c r="A20" s="3" t="s">
        <v>81</v>
      </c>
      <c r="B20" s="3"/>
      <c r="C20" s="3"/>
      <c r="D20" s="16">
        <f>COUNTIF(H6:H500,"No cumple")</f>
        <v>1</v>
      </c>
      <c r="M20" s="15"/>
      <c r="N20" s="15"/>
    </row>
    <row r="21" spans="1:14" ht="18" customHeight="1" x14ac:dyDescent="0.25">
      <c r="A21" s="2" t="s">
        <v>82</v>
      </c>
      <c r="B21" s="2"/>
      <c r="C21" s="2"/>
      <c r="D21" s="17">
        <f>COUNTIF(H6:H500,"Pendiente de verificación")</f>
        <v>0</v>
      </c>
      <c r="M21" s="15"/>
      <c r="N21" s="15"/>
    </row>
    <row r="22" spans="1:14" ht="18" customHeight="1" x14ac:dyDescent="0.25">
      <c r="A22" s="3" t="s">
        <v>83</v>
      </c>
      <c r="B22" s="3"/>
      <c r="C22" s="3"/>
      <c r="D22" s="16">
        <f>COUNTIF(L6:L500,"Enrolado")</f>
        <v>4</v>
      </c>
      <c r="M22" s="15"/>
      <c r="N22" s="15"/>
    </row>
    <row r="23" spans="1:14" ht="18" customHeight="1" x14ac:dyDescent="0.25">
      <c r="A23" s="2" t="s">
        <v>84</v>
      </c>
      <c r="B23" s="2"/>
      <c r="C23" s="2"/>
      <c r="D23" s="17">
        <f>COUNTIF(L6:L500,"No enrolado")</f>
        <v>0</v>
      </c>
      <c r="M23" s="15"/>
      <c r="N23" s="15"/>
    </row>
    <row r="24" spans="1:14" ht="18" customHeight="1" x14ac:dyDescent="0.25">
      <c r="A24" s="3" t="s">
        <v>85</v>
      </c>
      <c r="B24" s="3"/>
      <c r="C24" s="3"/>
      <c r="D24" s="16">
        <f>COUNTIF(L6:L500,"Enrolamiento revocado")</f>
        <v>1</v>
      </c>
      <c r="M24" s="15"/>
      <c r="N24" s="15"/>
    </row>
    <row r="25" spans="1:14" ht="18" customHeight="1" x14ac:dyDescent="0.25">
      <c r="A25" s="2" t="s">
        <v>86</v>
      </c>
      <c r="B25" s="2"/>
      <c r="C25" s="2"/>
      <c r="D25" s="17">
        <f>COUNTIF(O6:O500,"Activo")</f>
        <v>4</v>
      </c>
      <c r="M25" s="15"/>
      <c r="N25" s="15"/>
    </row>
    <row r="26" spans="1:14" ht="18" customHeight="1" x14ac:dyDescent="0.25">
      <c r="A26" s="3" t="s">
        <v>87</v>
      </c>
      <c r="B26" s="3"/>
      <c r="C26" s="3"/>
      <c r="D26" s="16">
        <f>COUNTIF(O6:O500,"Inactivo")</f>
        <v>1</v>
      </c>
      <c r="M26" s="15"/>
      <c r="N26" s="15"/>
    </row>
    <row r="27" spans="1:14" ht="18" customHeight="1" x14ac:dyDescent="0.25">
      <c r="A27" s="2" t="s">
        <v>88</v>
      </c>
      <c r="B27" s="2"/>
      <c r="C27" s="2"/>
      <c r="D27" s="17">
        <f>COUNTIF(O6:O500,"Extraviado")</f>
        <v>0</v>
      </c>
      <c r="M27" s="15"/>
      <c r="N27" s="15"/>
    </row>
    <row r="28" spans="1:14" ht="18" customHeight="1" x14ac:dyDescent="0.25">
      <c r="A28" s="3" t="s">
        <v>89</v>
      </c>
      <c r="B28" s="3"/>
      <c r="C28" s="3"/>
      <c r="D28" s="16">
        <f>COUNTIF(O6:O500,"Retirado")</f>
        <v>0</v>
      </c>
      <c r="M28" s="15"/>
      <c r="N28" s="15"/>
    </row>
    <row r="29" spans="1:14" x14ac:dyDescent="0.25">
      <c r="M29" s="15"/>
      <c r="N29" s="15"/>
    </row>
    <row r="30" spans="1:14" x14ac:dyDescent="0.25">
      <c r="M30" s="15"/>
      <c r="N30" s="15"/>
    </row>
    <row r="31" spans="1:14" x14ac:dyDescent="0.25">
      <c r="M31" s="15"/>
      <c r="N31" s="15"/>
    </row>
    <row r="32" spans="1:14" x14ac:dyDescent="0.25">
      <c r="M32" s="15"/>
      <c r="N32" s="15"/>
    </row>
    <row r="33" spans="13:14" x14ac:dyDescent="0.25">
      <c r="M33" s="15"/>
      <c r="N33" s="15"/>
    </row>
    <row r="34" spans="13:14" x14ac:dyDescent="0.25">
      <c r="M34" s="15"/>
      <c r="N34" s="15"/>
    </row>
    <row r="35" spans="13:14" x14ac:dyDescent="0.25">
      <c r="M35" s="15"/>
      <c r="N35" s="15"/>
    </row>
    <row r="36" spans="13:14" x14ac:dyDescent="0.25">
      <c r="M36" s="15"/>
      <c r="N36" s="15"/>
    </row>
    <row r="37" spans="13:14" x14ac:dyDescent="0.25">
      <c r="M37" s="15"/>
      <c r="N37" s="15"/>
    </row>
    <row r="38" spans="13:14" x14ac:dyDescent="0.25">
      <c r="M38" s="15"/>
      <c r="N38" s="15"/>
    </row>
    <row r="39" spans="13:14" x14ac:dyDescent="0.25">
      <c r="M39" s="15"/>
      <c r="N39" s="15"/>
    </row>
    <row r="40" spans="13:14" x14ac:dyDescent="0.25">
      <c r="M40" s="15"/>
      <c r="N40" s="15"/>
    </row>
    <row r="41" spans="13:14" x14ac:dyDescent="0.25">
      <c r="M41" s="15"/>
      <c r="N41" s="15"/>
    </row>
    <row r="42" spans="13:14" x14ac:dyDescent="0.25">
      <c r="M42" s="15"/>
      <c r="N42" s="15"/>
    </row>
    <row r="43" spans="13:14" x14ac:dyDescent="0.25">
      <c r="M43" s="15"/>
      <c r="N43" s="15"/>
    </row>
    <row r="44" spans="13:14" x14ac:dyDescent="0.25">
      <c r="M44" s="15"/>
      <c r="N44" s="15"/>
    </row>
    <row r="45" spans="13:14" x14ac:dyDescent="0.25">
      <c r="M45" s="15"/>
      <c r="N45" s="15"/>
    </row>
    <row r="46" spans="13:14" x14ac:dyDescent="0.25">
      <c r="M46" s="15"/>
      <c r="N46" s="15"/>
    </row>
    <row r="47" spans="13:14" x14ac:dyDescent="0.25">
      <c r="M47" s="15"/>
      <c r="N47" s="15"/>
    </row>
    <row r="48" spans="13:14" x14ac:dyDescent="0.25">
      <c r="M48" s="15"/>
      <c r="N48" s="15"/>
    </row>
    <row r="49" spans="13:14" x14ac:dyDescent="0.25">
      <c r="M49" s="15"/>
      <c r="N49" s="15"/>
    </row>
    <row r="50" spans="13:14" x14ac:dyDescent="0.25">
      <c r="M50" s="15"/>
      <c r="N50" s="15"/>
    </row>
    <row r="51" spans="13:14" x14ac:dyDescent="0.25">
      <c r="M51" s="15"/>
      <c r="N51" s="15"/>
    </row>
    <row r="52" spans="13:14" x14ac:dyDescent="0.25">
      <c r="M52" s="15"/>
      <c r="N52" s="15"/>
    </row>
    <row r="53" spans="13:14" x14ac:dyDescent="0.25">
      <c r="M53" s="15"/>
      <c r="N53" s="15"/>
    </row>
    <row r="54" spans="13:14" x14ac:dyDescent="0.25">
      <c r="M54" s="15"/>
      <c r="N54" s="15"/>
    </row>
    <row r="55" spans="13:14" x14ac:dyDescent="0.25">
      <c r="M55" s="15"/>
      <c r="N55" s="15"/>
    </row>
    <row r="56" spans="13:14" x14ac:dyDescent="0.25">
      <c r="M56" s="15"/>
      <c r="N56" s="15"/>
    </row>
    <row r="57" spans="13:14" x14ac:dyDescent="0.25">
      <c r="M57" s="15"/>
      <c r="N57" s="15"/>
    </row>
    <row r="58" spans="13:14" x14ac:dyDescent="0.25">
      <c r="M58" s="15"/>
      <c r="N58" s="15"/>
    </row>
    <row r="59" spans="13:14" x14ac:dyDescent="0.25">
      <c r="M59" s="15"/>
      <c r="N59" s="15"/>
    </row>
    <row r="60" spans="13:14" x14ac:dyDescent="0.25">
      <c r="M60" s="15"/>
      <c r="N60" s="15"/>
    </row>
    <row r="61" spans="13:14" x14ac:dyDescent="0.25">
      <c r="M61" s="15"/>
      <c r="N61" s="15"/>
    </row>
    <row r="62" spans="13:14" x14ac:dyDescent="0.25">
      <c r="M62" s="15"/>
      <c r="N62" s="15"/>
    </row>
    <row r="63" spans="13:14" x14ac:dyDescent="0.25">
      <c r="M63" s="15"/>
      <c r="N63" s="15"/>
    </row>
    <row r="64" spans="13:14" x14ac:dyDescent="0.25">
      <c r="M64" s="15"/>
      <c r="N64" s="15"/>
    </row>
    <row r="65" spans="13:14" x14ac:dyDescent="0.25">
      <c r="M65" s="15"/>
      <c r="N65" s="15"/>
    </row>
    <row r="66" spans="13:14" x14ac:dyDescent="0.25">
      <c r="M66" s="15"/>
      <c r="N66" s="15"/>
    </row>
    <row r="67" spans="13:14" x14ac:dyDescent="0.25">
      <c r="M67" s="15"/>
      <c r="N67" s="15"/>
    </row>
    <row r="68" spans="13:14" x14ac:dyDescent="0.25">
      <c r="M68" s="15"/>
      <c r="N68" s="15"/>
    </row>
    <row r="69" spans="13:14" x14ac:dyDescent="0.25">
      <c r="M69" s="15"/>
      <c r="N69" s="15"/>
    </row>
    <row r="70" spans="13:14" x14ac:dyDescent="0.25">
      <c r="M70" s="15"/>
      <c r="N70" s="15"/>
    </row>
    <row r="71" spans="13:14" x14ac:dyDescent="0.25">
      <c r="M71" s="15"/>
      <c r="N71" s="15"/>
    </row>
    <row r="72" spans="13:14" x14ac:dyDescent="0.25">
      <c r="M72" s="15"/>
      <c r="N72" s="15"/>
    </row>
    <row r="73" spans="13:14" x14ac:dyDescent="0.25">
      <c r="M73" s="15"/>
      <c r="N73" s="15"/>
    </row>
    <row r="74" spans="13:14" x14ac:dyDescent="0.25">
      <c r="M74" s="15"/>
      <c r="N74" s="15"/>
    </row>
    <row r="75" spans="13:14" x14ac:dyDescent="0.25">
      <c r="M75" s="15"/>
      <c r="N75" s="15"/>
    </row>
    <row r="76" spans="13:14" x14ac:dyDescent="0.25">
      <c r="M76" s="15"/>
      <c r="N76" s="15"/>
    </row>
    <row r="77" spans="13:14" x14ac:dyDescent="0.25">
      <c r="M77" s="15"/>
      <c r="N77" s="15"/>
    </row>
    <row r="78" spans="13:14" x14ac:dyDescent="0.25">
      <c r="M78" s="15"/>
      <c r="N78" s="15"/>
    </row>
    <row r="79" spans="13:14" x14ac:dyDescent="0.25">
      <c r="M79" s="15"/>
      <c r="N79" s="15"/>
    </row>
    <row r="80" spans="13:14" x14ac:dyDescent="0.25">
      <c r="M80" s="15"/>
      <c r="N80" s="15"/>
    </row>
    <row r="81" spans="13:14" x14ac:dyDescent="0.25">
      <c r="M81" s="15"/>
      <c r="N81" s="15"/>
    </row>
    <row r="82" spans="13:14" x14ac:dyDescent="0.25">
      <c r="M82" s="15"/>
      <c r="N82" s="15"/>
    </row>
    <row r="83" spans="13:14" x14ac:dyDescent="0.25">
      <c r="M83" s="15"/>
      <c r="N83" s="15"/>
    </row>
    <row r="84" spans="13:14" x14ac:dyDescent="0.25">
      <c r="M84" s="15"/>
      <c r="N84" s="15"/>
    </row>
    <row r="85" spans="13:14" x14ac:dyDescent="0.25">
      <c r="M85" s="15"/>
      <c r="N85" s="15"/>
    </row>
    <row r="86" spans="13:14" x14ac:dyDescent="0.25">
      <c r="M86" s="15"/>
      <c r="N86" s="15"/>
    </row>
    <row r="87" spans="13:14" x14ac:dyDescent="0.25">
      <c r="M87" s="15"/>
      <c r="N87" s="15"/>
    </row>
    <row r="88" spans="13:14" x14ac:dyDescent="0.25">
      <c r="M88" s="15"/>
      <c r="N88" s="15"/>
    </row>
    <row r="89" spans="13:14" x14ac:dyDescent="0.25">
      <c r="M89" s="15"/>
      <c r="N89" s="15"/>
    </row>
    <row r="90" spans="13:14" x14ac:dyDescent="0.25">
      <c r="M90" s="15"/>
      <c r="N90" s="15"/>
    </row>
    <row r="91" spans="13:14" x14ac:dyDescent="0.25">
      <c r="M91" s="15"/>
      <c r="N91" s="15"/>
    </row>
    <row r="92" spans="13:14" x14ac:dyDescent="0.25">
      <c r="M92" s="15"/>
      <c r="N92" s="15"/>
    </row>
    <row r="93" spans="13:14" x14ac:dyDescent="0.25">
      <c r="M93" s="15"/>
      <c r="N93" s="15"/>
    </row>
    <row r="94" spans="13:14" x14ac:dyDescent="0.25">
      <c r="M94" s="15"/>
      <c r="N94" s="15"/>
    </row>
    <row r="95" spans="13:14" x14ac:dyDescent="0.25">
      <c r="M95" s="15"/>
      <c r="N95" s="15"/>
    </row>
    <row r="96" spans="13:14" x14ac:dyDescent="0.25">
      <c r="M96" s="15"/>
      <c r="N96" s="15"/>
    </row>
    <row r="97" spans="13:14" x14ac:dyDescent="0.25">
      <c r="M97" s="15"/>
      <c r="N97" s="15"/>
    </row>
    <row r="98" spans="13:14" x14ac:dyDescent="0.25">
      <c r="M98" s="15"/>
      <c r="N98" s="15"/>
    </row>
    <row r="99" spans="13:14" x14ac:dyDescent="0.25">
      <c r="M99" s="15"/>
      <c r="N99" s="15"/>
    </row>
    <row r="100" spans="13:14" x14ac:dyDescent="0.25">
      <c r="M100" s="15"/>
      <c r="N100" s="15"/>
    </row>
    <row r="101" spans="13:14" x14ac:dyDescent="0.25">
      <c r="M101" s="15"/>
      <c r="N101" s="15"/>
    </row>
    <row r="102" spans="13:14" x14ac:dyDescent="0.25">
      <c r="M102" s="15"/>
      <c r="N102" s="15"/>
    </row>
    <row r="103" spans="13:14" x14ac:dyDescent="0.25">
      <c r="M103" s="15"/>
      <c r="N103" s="15"/>
    </row>
    <row r="104" spans="13:14" x14ac:dyDescent="0.25">
      <c r="M104" s="15"/>
      <c r="N104" s="15"/>
    </row>
    <row r="105" spans="13:14" x14ac:dyDescent="0.25">
      <c r="M105" s="15"/>
      <c r="N105" s="15"/>
    </row>
    <row r="106" spans="13:14" x14ac:dyDescent="0.25">
      <c r="M106" s="15"/>
      <c r="N106" s="15"/>
    </row>
    <row r="107" spans="13:14" x14ac:dyDescent="0.25">
      <c r="M107" s="15"/>
      <c r="N107" s="15"/>
    </row>
    <row r="108" spans="13:14" x14ac:dyDescent="0.25">
      <c r="M108" s="15"/>
      <c r="N108" s="15"/>
    </row>
    <row r="109" spans="13:14" x14ac:dyDescent="0.25">
      <c r="M109" s="15"/>
      <c r="N109" s="15"/>
    </row>
    <row r="110" spans="13:14" x14ac:dyDescent="0.25">
      <c r="M110" s="15"/>
      <c r="N110" s="15"/>
    </row>
    <row r="111" spans="13:14" x14ac:dyDescent="0.25">
      <c r="M111" s="15"/>
      <c r="N111" s="15"/>
    </row>
    <row r="112" spans="13:14" x14ac:dyDescent="0.25">
      <c r="M112" s="15"/>
      <c r="N112" s="15"/>
    </row>
    <row r="113" spans="13:14" x14ac:dyDescent="0.25">
      <c r="M113" s="15"/>
      <c r="N113" s="15"/>
    </row>
    <row r="114" spans="13:14" x14ac:dyDescent="0.25">
      <c r="M114" s="15"/>
      <c r="N114" s="15"/>
    </row>
    <row r="115" spans="13:14" x14ac:dyDescent="0.25">
      <c r="M115" s="15"/>
      <c r="N115" s="15"/>
    </row>
    <row r="116" spans="13:14" x14ac:dyDescent="0.25">
      <c r="M116" s="15"/>
      <c r="N116" s="15"/>
    </row>
    <row r="117" spans="13:14" x14ac:dyDescent="0.25">
      <c r="M117" s="15"/>
      <c r="N117" s="15"/>
    </row>
    <row r="118" spans="13:14" x14ac:dyDescent="0.25">
      <c r="M118" s="15"/>
      <c r="N118" s="15"/>
    </row>
    <row r="119" spans="13:14" x14ac:dyDescent="0.25">
      <c r="M119" s="15"/>
      <c r="N119" s="15"/>
    </row>
    <row r="120" spans="13:14" x14ac:dyDescent="0.25">
      <c r="M120" s="15"/>
      <c r="N120" s="15"/>
    </row>
    <row r="121" spans="13:14" x14ac:dyDescent="0.25">
      <c r="M121" s="15"/>
      <c r="N121" s="15"/>
    </row>
    <row r="122" spans="13:14" x14ac:dyDescent="0.25">
      <c r="M122" s="15"/>
      <c r="N122" s="15"/>
    </row>
    <row r="123" spans="13:14" x14ac:dyDescent="0.25">
      <c r="M123" s="15"/>
      <c r="N123" s="15"/>
    </row>
    <row r="124" spans="13:14" x14ac:dyDescent="0.25">
      <c r="M124" s="15"/>
      <c r="N124" s="15"/>
    </row>
    <row r="125" spans="13:14" x14ac:dyDescent="0.25">
      <c r="M125" s="15"/>
      <c r="N125" s="15"/>
    </row>
    <row r="126" spans="13:14" x14ac:dyDescent="0.25">
      <c r="M126" s="15"/>
      <c r="N126" s="15"/>
    </row>
    <row r="127" spans="13:14" x14ac:dyDescent="0.25">
      <c r="M127" s="15"/>
      <c r="N127" s="15"/>
    </row>
    <row r="128" spans="13:14" x14ac:dyDescent="0.25">
      <c r="M128" s="15"/>
      <c r="N128" s="15"/>
    </row>
    <row r="129" spans="13:14" x14ac:dyDescent="0.25">
      <c r="M129" s="15"/>
      <c r="N129" s="15"/>
    </row>
    <row r="130" spans="13:14" x14ac:dyDescent="0.25">
      <c r="M130" s="15"/>
      <c r="N130" s="15"/>
    </row>
    <row r="131" spans="13:14" x14ac:dyDescent="0.25">
      <c r="M131" s="15"/>
      <c r="N131" s="15"/>
    </row>
    <row r="132" spans="13:14" x14ac:dyDescent="0.25">
      <c r="M132" s="15"/>
      <c r="N132" s="15"/>
    </row>
    <row r="133" spans="13:14" x14ac:dyDescent="0.25">
      <c r="M133" s="15"/>
      <c r="N133" s="15"/>
    </row>
    <row r="134" spans="13:14" x14ac:dyDescent="0.25">
      <c r="M134" s="15"/>
      <c r="N134" s="15"/>
    </row>
    <row r="135" spans="13:14" x14ac:dyDescent="0.25">
      <c r="M135" s="15"/>
      <c r="N135" s="15"/>
    </row>
    <row r="136" spans="13:14" x14ac:dyDescent="0.25">
      <c r="M136" s="15"/>
      <c r="N136" s="15"/>
    </row>
    <row r="137" spans="13:14" x14ac:dyDescent="0.25">
      <c r="M137" s="15"/>
      <c r="N137" s="15"/>
    </row>
    <row r="138" spans="13:14" x14ac:dyDescent="0.25">
      <c r="M138" s="15"/>
      <c r="N138" s="15"/>
    </row>
    <row r="139" spans="13:14" x14ac:dyDescent="0.25">
      <c r="M139" s="15"/>
      <c r="N139" s="15"/>
    </row>
    <row r="140" spans="13:14" x14ac:dyDescent="0.25">
      <c r="M140" s="15"/>
      <c r="N140" s="15"/>
    </row>
    <row r="141" spans="13:14" x14ac:dyDescent="0.25">
      <c r="M141" s="15"/>
      <c r="N141" s="15"/>
    </row>
    <row r="142" spans="13:14" x14ac:dyDescent="0.25">
      <c r="M142" s="15"/>
      <c r="N142" s="15"/>
    </row>
    <row r="143" spans="13:14" x14ac:dyDescent="0.25">
      <c r="M143" s="15"/>
      <c r="N143" s="15"/>
    </row>
    <row r="144" spans="13:14" x14ac:dyDescent="0.25">
      <c r="M144" s="15"/>
      <c r="N144" s="15"/>
    </row>
    <row r="145" spans="13:14" x14ac:dyDescent="0.25">
      <c r="M145" s="15"/>
      <c r="N145" s="15"/>
    </row>
    <row r="146" spans="13:14" x14ac:dyDescent="0.25">
      <c r="M146" s="15"/>
      <c r="N146" s="15"/>
    </row>
    <row r="147" spans="13:14" x14ac:dyDescent="0.25">
      <c r="M147" s="15"/>
      <c r="N147" s="15"/>
    </row>
    <row r="148" spans="13:14" x14ac:dyDescent="0.25">
      <c r="M148" s="15"/>
      <c r="N148" s="15"/>
    </row>
    <row r="149" spans="13:14" x14ac:dyDescent="0.25">
      <c r="M149" s="15"/>
      <c r="N149" s="15"/>
    </row>
    <row r="150" spans="13:14" x14ac:dyDescent="0.25">
      <c r="M150" s="15"/>
      <c r="N150" s="15"/>
    </row>
    <row r="151" spans="13:14" x14ac:dyDescent="0.25">
      <c r="M151" s="15"/>
      <c r="N151" s="15"/>
    </row>
    <row r="152" spans="13:14" x14ac:dyDescent="0.25">
      <c r="M152" s="15"/>
      <c r="N152" s="15"/>
    </row>
    <row r="153" spans="13:14" x14ac:dyDescent="0.25">
      <c r="M153" s="15"/>
      <c r="N153" s="15"/>
    </row>
    <row r="154" spans="13:14" x14ac:dyDescent="0.25">
      <c r="M154" s="15"/>
      <c r="N154" s="15"/>
    </row>
    <row r="155" spans="13:14" x14ac:dyDescent="0.25">
      <c r="M155" s="15"/>
      <c r="N155" s="15"/>
    </row>
    <row r="156" spans="13:14" x14ac:dyDescent="0.25">
      <c r="M156" s="15"/>
      <c r="N156" s="15"/>
    </row>
    <row r="157" spans="13:14" x14ac:dyDescent="0.25">
      <c r="M157" s="15"/>
      <c r="N157" s="15"/>
    </row>
    <row r="158" spans="13:14" x14ac:dyDescent="0.25">
      <c r="M158" s="15"/>
      <c r="N158" s="15"/>
    </row>
    <row r="159" spans="13:14" x14ac:dyDescent="0.25">
      <c r="M159" s="15"/>
      <c r="N159" s="15"/>
    </row>
    <row r="160" spans="13:14" x14ac:dyDescent="0.25">
      <c r="M160" s="15"/>
      <c r="N160" s="15"/>
    </row>
    <row r="161" spans="13:14" x14ac:dyDescent="0.25">
      <c r="M161" s="15"/>
      <c r="N161" s="15"/>
    </row>
    <row r="162" spans="13:14" x14ac:dyDescent="0.25">
      <c r="M162" s="15"/>
      <c r="N162" s="15"/>
    </row>
    <row r="163" spans="13:14" x14ac:dyDescent="0.25">
      <c r="M163" s="15"/>
      <c r="N163" s="15"/>
    </row>
    <row r="164" spans="13:14" x14ac:dyDescent="0.25">
      <c r="M164" s="15"/>
      <c r="N164" s="15"/>
    </row>
    <row r="165" spans="13:14" x14ac:dyDescent="0.25">
      <c r="M165" s="15"/>
      <c r="N165" s="15"/>
    </row>
    <row r="166" spans="13:14" x14ac:dyDescent="0.25">
      <c r="M166" s="15"/>
      <c r="N166" s="15"/>
    </row>
    <row r="167" spans="13:14" x14ac:dyDescent="0.25">
      <c r="M167" s="15"/>
      <c r="N167" s="15"/>
    </row>
    <row r="168" spans="13:14" x14ac:dyDescent="0.25">
      <c r="M168" s="15"/>
      <c r="N168" s="15"/>
    </row>
    <row r="169" spans="13:14" x14ac:dyDescent="0.25">
      <c r="M169" s="15"/>
      <c r="N169" s="15"/>
    </row>
    <row r="170" spans="13:14" x14ac:dyDescent="0.25">
      <c r="M170" s="15"/>
      <c r="N170" s="15"/>
    </row>
    <row r="171" spans="13:14" x14ac:dyDescent="0.25">
      <c r="M171" s="15"/>
      <c r="N171" s="15"/>
    </row>
    <row r="172" spans="13:14" x14ac:dyDescent="0.25">
      <c r="M172" s="15"/>
      <c r="N172" s="15"/>
    </row>
    <row r="173" spans="13:14" x14ac:dyDescent="0.25">
      <c r="M173" s="15"/>
      <c r="N173" s="15"/>
    </row>
    <row r="174" spans="13:14" x14ac:dyDescent="0.25">
      <c r="M174" s="15"/>
      <c r="N174" s="15"/>
    </row>
    <row r="175" spans="13:14" x14ac:dyDescent="0.25">
      <c r="M175" s="15"/>
      <c r="N175" s="15"/>
    </row>
    <row r="176" spans="13:14" x14ac:dyDescent="0.25">
      <c r="M176" s="15"/>
      <c r="N176" s="15"/>
    </row>
    <row r="177" spans="13:14" x14ac:dyDescent="0.25">
      <c r="M177" s="15"/>
      <c r="N177" s="15"/>
    </row>
    <row r="178" spans="13:14" x14ac:dyDescent="0.25">
      <c r="M178" s="15"/>
      <c r="N178" s="15"/>
    </row>
    <row r="179" spans="13:14" x14ac:dyDescent="0.25">
      <c r="M179" s="15"/>
      <c r="N179" s="15"/>
    </row>
    <row r="180" spans="13:14" x14ac:dyDescent="0.25">
      <c r="M180" s="15"/>
      <c r="N180" s="15"/>
    </row>
    <row r="181" spans="13:14" x14ac:dyDescent="0.25">
      <c r="M181" s="15"/>
      <c r="N181" s="15"/>
    </row>
    <row r="182" spans="13:14" x14ac:dyDescent="0.25">
      <c r="M182" s="15"/>
      <c r="N182" s="15"/>
    </row>
    <row r="183" spans="13:14" x14ac:dyDescent="0.25">
      <c r="M183" s="15"/>
      <c r="N183" s="15"/>
    </row>
    <row r="184" spans="13:14" x14ac:dyDescent="0.25">
      <c r="M184" s="15"/>
      <c r="N184" s="15"/>
    </row>
    <row r="185" spans="13:14" x14ac:dyDescent="0.25">
      <c r="M185" s="15"/>
      <c r="N185" s="15"/>
    </row>
    <row r="186" spans="13:14" x14ac:dyDescent="0.25">
      <c r="M186" s="15"/>
      <c r="N186" s="15"/>
    </row>
    <row r="187" spans="13:14" x14ac:dyDescent="0.25">
      <c r="M187" s="15"/>
      <c r="N187" s="15"/>
    </row>
    <row r="188" spans="13:14" x14ac:dyDescent="0.25">
      <c r="M188" s="15"/>
      <c r="N188" s="15"/>
    </row>
    <row r="189" spans="13:14" x14ac:dyDescent="0.25">
      <c r="M189" s="15"/>
      <c r="N189" s="15"/>
    </row>
    <row r="190" spans="13:14" x14ac:dyDescent="0.25">
      <c r="M190" s="15"/>
      <c r="N190" s="15"/>
    </row>
    <row r="191" spans="13:14" x14ac:dyDescent="0.25">
      <c r="M191" s="15"/>
      <c r="N191" s="15"/>
    </row>
    <row r="192" spans="13:14" x14ac:dyDescent="0.25">
      <c r="M192" s="15"/>
      <c r="N192" s="15"/>
    </row>
    <row r="193" spans="13:14" x14ac:dyDescent="0.25">
      <c r="M193" s="15"/>
      <c r="N193" s="15"/>
    </row>
    <row r="194" spans="13:14" x14ac:dyDescent="0.25">
      <c r="M194" s="15"/>
      <c r="N194" s="15"/>
    </row>
    <row r="195" spans="13:14" x14ac:dyDescent="0.25">
      <c r="M195" s="15"/>
      <c r="N195" s="15"/>
    </row>
    <row r="196" spans="13:14" x14ac:dyDescent="0.25">
      <c r="M196" s="15"/>
      <c r="N196" s="15"/>
    </row>
    <row r="197" spans="13:14" x14ac:dyDescent="0.25">
      <c r="M197" s="15"/>
      <c r="N197" s="15"/>
    </row>
    <row r="198" spans="13:14" x14ac:dyDescent="0.25">
      <c r="M198" s="15"/>
      <c r="N198" s="15"/>
    </row>
    <row r="199" spans="13:14" x14ac:dyDescent="0.25">
      <c r="M199" s="15"/>
      <c r="N199" s="15"/>
    </row>
    <row r="200" spans="13:14" x14ac:dyDescent="0.25">
      <c r="M200" s="15"/>
      <c r="N200" s="15"/>
    </row>
    <row r="201" spans="13:14" x14ac:dyDescent="0.25">
      <c r="M201" s="15"/>
      <c r="N201" s="15"/>
    </row>
    <row r="202" spans="13:14" x14ac:dyDescent="0.25">
      <c r="M202" s="15"/>
      <c r="N202" s="15"/>
    </row>
    <row r="203" spans="13:14" x14ac:dyDescent="0.25">
      <c r="M203" s="15"/>
      <c r="N203" s="15"/>
    </row>
    <row r="204" spans="13:14" x14ac:dyDescent="0.25">
      <c r="M204" s="15"/>
      <c r="N204" s="15"/>
    </row>
    <row r="205" spans="13:14" x14ac:dyDescent="0.25">
      <c r="M205" s="15"/>
      <c r="N205" s="15"/>
    </row>
    <row r="206" spans="13:14" x14ac:dyDescent="0.25">
      <c r="M206" s="15"/>
      <c r="N206" s="15"/>
    </row>
    <row r="207" spans="13:14" x14ac:dyDescent="0.25">
      <c r="M207" s="15"/>
      <c r="N207" s="15"/>
    </row>
    <row r="208" spans="13:14" x14ac:dyDescent="0.25">
      <c r="M208" s="15"/>
      <c r="N208" s="15"/>
    </row>
    <row r="209" spans="13:14" x14ac:dyDescent="0.25">
      <c r="M209" s="15"/>
      <c r="N209" s="15"/>
    </row>
    <row r="210" spans="13:14" x14ac:dyDescent="0.25">
      <c r="M210" s="15"/>
      <c r="N210" s="15"/>
    </row>
    <row r="211" spans="13:14" x14ac:dyDescent="0.25">
      <c r="M211" s="15"/>
      <c r="N211" s="15"/>
    </row>
    <row r="212" spans="13:14" x14ac:dyDescent="0.25">
      <c r="M212" s="15"/>
      <c r="N212" s="15"/>
    </row>
    <row r="213" spans="13:14" x14ac:dyDescent="0.25">
      <c r="M213" s="15"/>
      <c r="N213" s="15"/>
    </row>
    <row r="214" spans="13:14" x14ac:dyDescent="0.25">
      <c r="M214" s="15"/>
      <c r="N214" s="15"/>
    </row>
    <row r="215" spans="13:14" x14ac:dyDescent="0.25">
      <c r="M215" s="15"/>
      <c r="N215" s="15"/>
    </row>
    <row r="216" spans="13:14" x14ac:dyDescent="0.25">
      <c r="M216" s="15"/>
      <c r="N216" s="15"/>
    </row>
    <row r="217" spans="13:14" x14ac:dyDescent="0.25">
      <c r="M217" s="15"/>
      <c r="N217" s="15"/>
    </row>
    <row r="218" spans="13:14" x14ac:dyDescent="0.25">
      <c r="M218" s="15"/>
      <c r="N218" s="15"/>
    </row>
    <row r="219" spans="13:14" x14ac:dyDescent="0.25">
      <c r="M219" s="15"/>
      <c r="N219" s="15"/>
    </row>
    <row r="220" spans="13:14" x14ac:dyDescent="0.25">
      <c r="M220" s="15"/>
      <c r="N220" s="15"/>
    </row>
    <row r="221" spans="13:14" x14ac:dyDescent="0.25">
      <c r="M221" s="15"/>
      <c r="N221" s="15"/>
    </row>
    <row r="222" spans="13:14" x14ac:dyDescent="0.25">
      <c r="M222" s="15"/>
      <c r="N222" s="15"/>
    </row>
    <row r="223" spans="13:14" x14ac:dyDescent="0.25">
      <c r="M223" s="15"/>
      <c r="N223" s="15"/>
    </row>
    <row r="224" spans="13:14" x14ac:dyDescent="0.25">
      <c r="M224" s="15"/>
      <c r="N224" s="15"/>
    </row>
    <row r="225" spans="13:14" x14ac:dyDescent="0.25">
      <c r="M225" s="15"/>
      <c r="N225" s="15"/>
    </row>
    <row r="226" spans="13:14" x14ac:dyDescent="0.25">
      <c r="M226" s="15"/>
      <c r="N226" s="15"/>
    </row>
    <row r="227" spans="13:14" x14ac:dyDescent="0.25">
      <c r="M227" s="15"/>
      <c r="N227" s="15"/>
    </row>
    <row r="228" spans="13:14" x14ac:dyDescent="0.25">
      <c r="M228" s="15"/>
      <c r="N228" s="15"/>
    </row>
    <row r="229" spans="13:14" x14ac:dyDescent="0.25">
      <c r="M229" s="15"/>
      <c r="N229" s="15"/>
    </row>
    <row r="230" spans="13:14" x14ac:dyDescent="0.25">
      <c r="M230" s="15"/>
      <c r="N230" s="15"/>
    </row>
    <row r="231" spans="13:14" x14ac:dyDescent="0.25">
      <c r="M231" s="15"/>
      <c r="N231" s="15"/>
    </row>
    <row r="232" spans="13:14" x14ac:dyDescent="0.25">
      <c r="M232" s="15"/>
      <c r="N232" s="15"/>
    </row>
    <row r="233" spans="13:14" x14ac:dyDescent="0.25">
      <c r="M233" s="15"/>
      <c r="N233" s="15"/>
    </row>
    <row r="234" spans="13:14" x14ac:dyDescent="0.25">
      <c r="M234" s="15"/>
      <c r="N234" s="15"/>
    </row>
    <row r="235" spans="13:14" x14ac:dyDescent="0.25">
      <c r="M235" s="15"/>
      <c r="N235" s="15"/>
    </row>
    <row r="236" spans="13:14" x14ac:dyDescent="0.25">
      <c r="M236" s="15"/>
      <c r="N236" s="15"/>
    </row>
    <row r="237" spans="13:14" x14ac:dyDescent="0.25">
      <c r="M237" s="15"/>
      <c r="N237" s="15"/>
    </row>
    <row r="238" spans="13:14" x14ac:dyDescent="0.25">
      <c r="M238" s="15"/>
      <c r="N238" s="15"/>
    </row>
    <row r="239" spans="13:14" x14ac:dyDescent="0.25">
      <c r="M239" s="15"/>
      <c r="N239" s="15"/>
    </row>
    <row r="240" spans="13:14" x14ac:dyDescent="0.25">
      <c r="M240" s="15"/>
      <c r="N240" s="15"/>
    </row>
    <row r="241" spans="13:14" x14ac:dyDescent="0.25">
      <c r="M241" s="15"/>
      <c r="N241" s="15"/>
    </row>
    <row r="242" spans="13:14" x14ac:dyDescent="0.25">
      <c r="M242" s="15"/>
      <c r="N242" s="15"/>
    </row>
    <row r="243" spans="13:14" x14ac:dyDescent="0.25">
      <c r="M243" s="15"/>
      <c r="N243" s="15"/>
    </row>
    <row r="244" spans="13:14" x14ac:dyDescent="0.25">
      <c r="M244" s="15"/>
      <c r="N244" s="15"/>
    </row>
    <row r="245" spans="13:14" x14ac:dyDescent="0.25">
      <c r="M245" s="15"/>
      <c r="N245" s="15"/>
    </row>
    <row r="246" spans="13:14" x14ac:dyDescent="0.25">
      <c r="M246" s="15"/>
      <c r="N246" s="15"/>
    </row>
    <row r="247" spans="13:14" x14ac:dyDescent="0.25">
      <c r="M247" s="15"/>
      <c r="N247" s="15"/>
    </row>
    <row r="248" spans="13:14" x14ac:dyDescent="0.25">
      <c r="M248" s="15"/>
      <c r="N248" s="15"/>
    </row>
    <row r="249" spans="13:14" x14ac:dyDescent="0.25">
      <c r="M249" s="15"/>
      <c r="N249" s="15"/>
    </row>
    <row r="250" spans="13:14" x14ac:dyDescent="0.25">
      <c r="M250" s="15"/>
      <c r="N250" s="15"/>
    </row>
    <row r="251" spans="13:14" x14ac:dyDescent="0.25">
      <c r="M251" s="15"/>
      <c r="N251" s="15"/>
    </row>
    <row r="252" spans="13:14" x14ac:dyDescent="0.25">
      <c r="M252" s="15"/>
      <c r="N252" s="15"/>
    </row>
    <row r="253" spans="13:14" x14ac:dyDescent="0.25">
      <c r="M253" s="15"/>
      <c r="N253" s="15"/>
    </row>
    <row r="254" spans="13:14" x14ac:dyDescent="0.25">
      <c r="M254" s="15"/>
      <c r="N254" s="15"/>
    </row>
    <row r="255" spans="13:14" x14ac:dyDescent="0.25">
      <c r="M255" s="15"/>
      <c r="N255" s="15"/>
    </row>
    <row r="256" spans="13:14" x14ac:dyDescent="0.25">
      <c r="M256" s="15"/>
      <c r="N256" s="15"/>
    </row>
    <row r="257" spans="13:14" x14ac:dyDescent="0.25">
      <c r="M257" s="15"/>
      <c r="N257" s="15"/>
    </row>
    <row r="258" spans="13:14" x14ac:dyDescent="0.25">
      <c r="M258" s="15"/>
      <c r="N258" s="15"/>
    </row>
    <row r="259" spans="13:14" x14ac:dyDescent="0.25">
      <c r="M259" s="15"/>
      <c r="N259" s="15"/>
    </row>
    <row r="260" spans="13:14" x14ac:dyDescent="0.25">
      <c r="M260" s="15"/>
      <c r="N260" s="15"/>
    </row>
    <row r="261" spans="13:14" x14ac:dyDescent="0.25">
      <c r="M261" s="15"/>
      <c r="N261" s="15"/>
    </row>
    <row r="262" spans="13:14" x14ac:dyDescent="0.25">
      <c r="M262" s="15"/>
      <c r="N262" s="15"/>
    </row>
    <row r="263" spans="13:14" x14ac:dyDescent="0.25">
      <c r="M263" s="15"/>
      <c r="N263" s="15"/>
    </row>
    <row r="264" spans="13:14" x14ac:dyDescent="0.25">
      <c r="M264" s="15"/>
      <c r="N264" s="15"/>
    </row>
    <row r="265" spans="13:14" x14ac:dyDescent="0.25">
      <c r="M265" s="15"/>
      <c r="N265" s="15"/>
    </row>
    <row r="266" spans="13:14" x14ac:dyDescent="0.25">
      <c r="M266" s="15"/>
      <c r="N266" s="15"/>
    </row>
    <row r="267" spans="13:14" x14ac:dyDescent="0.25">
      <c r="M267" s="15"/>
      <c r="N267" s="15"/>
    </row>
    <row r="268" spans="13:14" x14ac:dyDescent="0.25">
      <c r="M268" s="15"/>
      <c r="N268" s="15"/>
    </row>
    <row r="269" spans="13:14" x14ac:dyDescent="0.25">
      <c r="M269" s="15"/>
      <c r="N269" s="15"/>
    </row>
    <row r="270" spans="13:14" x14ac:dyDescent="0.25">
      <c r="M270" s="15"/>
      <c r="N270" s="15"/>
    </row>
    <row r="271" spans="13:14" x14ac:dyDescent="0.25">
      <c r="M271" s="15"/>
      <c r="N271" s="15"/>
    </row>
    <row r="272" spans="13:14" x14ac:dyDescent="0.25">
      <c r="M272" s="15"/>
      <c r="N272" s="15"/>
    </row>
    <row r="273" spans="13:14" x14ac:dyDescent="0.25">
      <c r="M273" s="15"/>
      <c r="N273" s="15"/>
    </row>
    <row r="274" spans="13:14" x14ac:dyDescent="0.25">
      <c r="M274" s="15"/>
      <c r="N274" s="15"/>
    </row>
    <row r="275" spans="13:14" x14ac:dyDescent="0.25">
      <c r="M275" s="15"/>
      <c r="N275" s="15"/>
    </row>
    <row r="276" spans="13:14" x14ac:dyDescent="0.25">
      <c r="M276" s="15"/>
      <c r="N276" s="15"/>
    </row>
    <row r="277" spans="13:14" x14ac:dyDescent="0.25">
      <c r="M277" s="15"/>
      <c r="N277" s="15"/>
    </row>
    <row r="278" spans="13:14" x14ac:dyDescent="0.25">
      <c r="M278" s="15"/>
      <c r="N278" s="15"/>
    </row>
    <row r="279" spans="13:14" x14ac:dyDescent="0.25">
      <c r="M279" s="15"/>
      <c r="N279" s="15"/>
    </row>
    <row r="280" spans="13:14" x14ac:dyDescent="0.25">
      <c r="M280" s="15"/>
      <c r="N280" s="15"/>
    </row>
    <row r="281" spans="13:14" x14ac:dyDescent="0.25">
      <c r="M281" s="15"/>
      <c r="N281" s="15"/>
    </row>
    <row r="282" spans="13:14" x14ac:dyDescent="0.25">
      <c r="M282" s="15"/>
      <c r="N282" s="15"/>
    </row>
    <row r="283" spans="13:14" x14ac:dyDescent="0.25">
      <c r="M283" s="15"/>
      <c r="N283" s="15"/>
    </row>
    <row r="284" spans="13:14" x14ac:dyDescent="0.25">
      <c r="M284" s="15"/>
      <c r="N284" s="15"/>
    </row>
    <row r="285" spans="13:14" x14ac:dyDescent="0.25">
      <c r="M285" s="15"/>
      <c r="N285" s="15"/>
    </row>
    <row r="286" spans="13:14" x14ac:dyDescent="0.25">
      <c r="M286" s="15"/>
      <c r="N286" s="15"/>
    </row>
    <row r="287" spans="13:14" x14ac:dyDescent="0.25">
      <c r="M287" s="15"/>
      <c r="N287" s="15"/>
    </row>
    <row r="288" spans="13:14" x14ac:dyDescent="0.25">
      <c r="M288" s="15"/>
      <c r="N288" s="15"/>
    </row>
    <row r="289" spans="13:14" x14ac:dyDescent="0.25">
      <c r="M289" s="15"/>
      <c r="N289" s="15"/>
    </row>
    <row r="290" spans="13:14" x14ac:dyDescent="0.25">
      <c r="M290" s="15"/>
      <c r="N290" s="15"/>
    </row>
    <row r="291" spans="13:14" x14ac:dyDescent="0.25">
      <c r="M291" s="15"/>
      <c r="N291" s="15"/>
    </row>
    <row r="292" spans="13:14" x14ac:dyDescent="0.25">
      <c r="M292" s="15"/>
      <c r="N292" s="15"/>
    </row>
    <row r="293" spans="13:14" x14ac:dyDescent="0.25">
      <c r="M293" s="15"/>
      <c r="N293" s="15"/>
    </row>
    <row r="294" spans="13:14" x14ac:dyDescent="0.25">
      <c r="M294" s="15"/>
      <c r="N294" s="15"/>
    </row>
    <row r="295" spans="13:14" x14ac:dyDescent="0.25">
      <c r="M295" s="15"/>
      <c r="N295" s="15"/>
    </row>
    <row r="296" spans="13:14" x14ac:dyDescent="0.25">
      <c r="M296" s="15"/>
      <c r="N296" s="15"/>
    </row>
    <row r="297" spans="13:14" x14ac:dyDescent="0.25">
      <c r="M297" s="15"/>
      <c r="N297" s="15"/>
    </row>
    <row r="298" spans="13:14" x14ac:dyDescent="0.25">
      <c r="M298" s="15"/>
      <c r="N298" s="15"/>
    </row>
    <row r="299" spans="13:14" x14ac:dyDescent="0.25">
      <c r="M299" s="15"/>
      <c r="N299" s="15"/>
    </row>
    <row r="300" spans="13:14" x14ac:dyDescent="0.25">
      <c r="M300" s="15"/>
      <c r="N300" s="15"/>
    </row>
    <row r="301" spans="13:14" x14ac:dyDescent="0.25">
      <c r="M301" s="15"/>
      <c r="N301" s="15"/>
    </row>
    <row r="302" spans="13:14" x14ac:dyDescent="0.25">
      <c r="M302" s="15"/>
      <c r="N302" s="15"/>
    </row>
    <row r="303" spans="13:14" x14ac:dyDescent="0.25">
      <c r="M303" s="15"/>
      <c r="N303" s="15"/>
    </row>
    <row r="304" spans="13:14" x14ac:dyDescent="0.25">
      <c r="M304" s="15"/>
      <c r="N304" s="15"/>
    </row>
    <row r="305" spans="13:14" x14ac:dyDescent="0.25">
      <c r="M305" s="15"/>
      <c r="N305" s="15"/>
    </row>
    <row r="306" spans="13:14" x14ac:dyDescent="0.25">
      <c r="M306" s="15"/>
      <c r="N306" s="15"/>
    </row>
    <row r="307" spans="13:14" x14ac:dyDescent="0.25">
      <c r="M307" s="15"/>
      <c r="N307" s="15"/>
    </row>
    <row r="308" spans="13:14" x14ac:dyDescent="0.25">
      <c r="M308" s="15"/>
      <c r="N308" s="15"/>
    </row>
    <row r="309" spans="13:14" x14ac:dyDescent="0.25">
      <c r="M309" s="15"/>
      <c r="N309" s="15"/>
    </row>
    <row r="310" spans="13:14" x14ac:dyDescent="0.25">
      <c r="M310" s="15"/>
      <c r="N310" s="15"/>
    </row>
    <row r="311" spans="13:14" x14ac:dyDescent="0.25">
      <c r="M311" s="15"/>
      <c r="N311" s="15"/>
    </row>
    <row r="312" spans="13:14" x14ac:dyDescent="0.25">
      <c r="M312" s="15"/>
      <c r="N312" s="15"/>
    </row>
    <row r="313" spans="13:14" x14ac:dyDescent="0.25">
      <c r="M313" s="15"/>
      <c r="N313" s="15"/>
    </row>
    <row r="314" spans="13:14" x14ac:dyDescent="0.25">
      <c r="M314" s="15"/>
      <c r="N314" s="15"/>
    </row>
    <row r="315" spans="13:14" x14ac:dyDescent="0.25">
      <c r="M315" s="15"/>
      <c r="N315" s="15"/>
    </row>
    <row r="316" spans="13:14" x14ac:dyDescent="0.25">
      <c r="M316" s="15"/>
      <c r="N316" s="15"/>
    </row>
    <row r="317" spans="13:14" x14ac:dyDescent="0.25">
      <c r="M317" s="15"/>
      <c r="N317" s="15"/>
    </row>
    <row r="318" spans="13:14" x14ac:dyDescent="0.25">
      <c r="M318" s="15"/>
      <c r="N318" s="15"/>
    </row>
    <row r="319" spans="13:14" x14ac:dyDescent="0.25">
      <c r="M319" s="15"/>
      <c r="N319" s="15"/>
    </row>
    <row r="320" spans="13:14" x14ac:dyDescent="0.25">
      <c r="M320" s="15"/>
      <c r="N320" s="15"/>
    </row>
    <row r="321" spans="13:14" x14ac:dyDescent="0.25">
      <c r="M321" s="15"/>
      <c r="N321" s="15"/>
    </row>
    <row r="322" spans="13:14" x14ac:dyDescent="0.25">
      <c r="M322" s="15"/>
      <c r="N322" s="15"/>
    </row>
    <row r="323" spans="13:14" x14ac:dyDescent="0.25">
      <c r="M323" s="15"/>
      <c r="N323" s="15"/>
    </row>
    <row r="324" spans="13:14" x14ac:dyDescent="0.25">
      <c r="M324" s="15"/>
      <c r="N324" s="15"/>
    </row>
    <row r="325" spans="13:14" x14ac:dyDescent="0.25">
      <c r="M325" s="15"/>
      <c r="N325" s="15"/>
    </row>
    <row r="326" spans="13:14" x14ac:dyDescent="0.25">
      <c r="M326" s="15"/>
      <c r="N326" s="15"/>
    </row>
    <row r="327" spans="13:14" x14ac:dyDescent="0.25">
      <c r="M327" s="15"/>
      <c r="N327" s="15"/>
    </row>
    <row r="328" spans="13:14" x14ac:dyDescent="0.25">
      <c r="M328" s="15"/>
      <c r="N328" s="15"/>
    </row>
    <row r="329" spans="13:14" x14ac:dyDescent="0.25">
      <c r="M329" s="15"/>
      <c r="N329" s="15"/>
    </row>
    <row r="330" spans="13:14" x14ac:dyDescent="0.25">
      <c r="M330" s="15"/>
      <c r="N330" s="15"/>
    </row>
    <row r="331" spans="13:14" x14ac:dyDescent="0.25">
      <c r="M331" s="15"/>
      <c r="N331" s="15"/>
    </row>
    <row r="332" spans="13:14" x14ac:dyDescent="0.25">
      <c r="M332" s="15"/>
      <c r="N332" s="15"/>
    </row>
    <row r="333" spans="13:14" x14ac:dyDescent="0.25">
      <c r="M333" s="15"/>
      <c r="N333" s="15"/>
    </row>
    <row r="334" spans="13:14" x14ac:dyDescent="0.25">
      <c r="M334" s="15"/>
      <c r="N334" s="15"/>
    </row>
    <row r="335" spans="13:14" x14ac:dyDescent="0.25">
      <c r="M335" s="15"/>
      <c r="N335" s="15"/>
    </row>
    <row r="336" spans="13:14" x14ac:dyDescent="0.25">
      <c r="M336" s="15"/>
      <c r="N336" s="15"/>
    </row>
    <row r="337" spans="13:14" x14ac:dyDescent="0.25">
      <c r="M337" s="15"/>
      <c r="N337" s="15"/>
    </row>
    <row r="338" spans="13:14" x14ac:dyDescent="0.25">
      <c r="M338" s="15"/>
      <c r="N338" s="15"/>
    </row>
    <row r="339" spans="13:14" x14ac:dyDescent="0.25">
      <c r="M339" s="15"/>
      <c r="N339" s="15"/>
    </row>
    <row r="340" spans="13:14" x14ac:dyDescent="0.25">
      <c r="M340" s="15"/>
      <c r="N340" s="15"/>
    </row>
    <row r="341" spans="13:14" x14ac:dyDescent="0.25">
      <c r="M341" s="15"/>
      <c r="N341" s="15"/>
    </row>
    <row r="342" spans="13:14" x14ac:dyDescent="0.25">
      <c r="M342" s="15"/>
      <c r="N342" s="15"/>
    </row>
    <row r="343" spans="13:14" x14ac:dyDescent="0.25">
      <c r="M343" s="15"/>
      <c r="N343" s="15"/>
    </row>
    <row r="344" spans="13:14" x14ac:dyDescent="0.25">
      <c r="M344" s="15"/>
      <c r="N344" s="15"/>
    </row>
    <row r="345" spans="13:14" x14ac:dyDescent="0.25">
      <c r="M345" s="15"/>
      <c r="N345" s="15"/>
    </row>
    <row r="346" spans="13:14" x14ac:dyDescent="0.25">
      <c r="M346" s="15"/>
      <c r="N346" s="15"/>
    </row>
    <row r="347" spans="13:14" x14ac:dyDescent="0.25">
      <c r="M347" s="15"/>
      <c r="N347" s="15"/>
    </row>
    <row r="348" spans="13:14" x14ac:dyDescent="0.25">
      <c r="M348" s="15"/>
      <c r="N348" s="15"/>
    </row>
    <row r="349" spans="13:14" x14ac:dyDescent="0.25">
      <c r="M349" s="15"/>
      <c r="N349" s="15"/>
    </row>
    <row r="350" spans="13:14" x14ac:dyDescent="0.25">
      <c r="M350" s="15"/>
      <c r="N350" s="15"/>
    </row>
    <row r="351" spans="13:14" x14ac:dyDescent="0.25">
      <c r="M351" s="15"/>
      <c r="N351" s="15"/>
    </row>
    <row r="352" spans="13:14" x14ac:dyDescent="0.25">
      <c r="M352" s="15"/>
      <c r="N352" s="15"/>
    </row>
    <row r="353" spans="13:14" x14ac:dyDescent="0.25">
      <c r="M353" s="15"/>
      <c r="N353" s="15"/>
    </row>
    <row r="354" spans="13:14" x14ac:dyDescent="0.25">
      <c r="M354" s="15"/>
      <c r="N354" s="15"/>
    </row>
    <row r="355" spans="13:14" x14ac:dyDescent="0.25">
      <c r="M355" s="15"/>
      <c r="N355" s="15"/>
    </row>
    <row r="356" spans="13:14" x14ac:dyDescent="0.25">
      <c r="M356" s="15"/>
      <c r="N356" s="15"/>
    </row>
    <row r="357" spans="13:14" x14ac:dyDescent="0.25">
      <c r="M357" s="15"/>
      <c r="N357" s="15"/>
    </row>
    <row r="358" spans="13:14" x14ac:dyDescent="0.25">
      <c r="M358" s="15"/>
      <c r="N358" s="15"/>
    </row>
    <row r="359" spans="13:14" x14ac:dyDescent="0.25">
      <c r="M359" s="15"/>
      <c r="N359" s="15"/>
    </row>
    <row r="360" spans="13:14" x14ac:dyDescent="0.25">
      <c r="M360" s="15"/>
      <c r="N360" s="15"/>
    </row>
    <row r="361" spans="13:14" x14ac:dyDescent="0.25">
      <c r="M361" s="15"/>
      <c r="N361" s="15"/>
    </row>
    <row r="362" spans="13:14" x14ac:dyDescent="0.25">
      <c r="M362" s="15"/>
      <c r="N362" s="15"/>
    </row>
    <row r="363" spans="13:14" x14ac:dyDescent="0.25">
      <c r="M363" s="15"/>
      <c r="N363" s="15"/>
    </row>
    <row r="364" spans="13:14" x14ac:dyDescent="0.25">
      <c r="M364" s="15"/>
      <c r="N364" s="15"/>
    </row>
    <row r="365" spans="13:14" x14ac:dyDescent="0.25">
      <c r="M365" s="15"/>
      <c r="N365" s="15"/>
    </row>
    <row r="366" spans="13:14" x14ac:dyDescent="0.25">
      <c r="M366" s="15"/>
      <c r="N366" s="15"/>
    </row>
    <row r="367" spans="13:14" x14ac:dyDescent="0.25">
      <c r="M367" s="15"/>
      <c r="N367" s="15"/>
    </row>
    <row r="368" spans="13:14" x14ac:dyDescent="0.25">
      <c r="M368" s="15"/>
      <c r="N368" s="15"/>
    </row>
    <row r="369" spans="13:14" x14ac:dyDescent="0.25">
      <c r="M369" s="15"/>
      <c r="N369" s="15"/>
    </row>
    <row r="370" spans="13:14" x14ac:dyDescent="0.25">
      <c r="M370" s="15"/>
      <c r="N370" s="15"/>
    </row>
    <row r="371" spans="13:14" x14ac:dyDescent="0.25">
      <c r="M371" s="15"/>
      <c r="N371" s="15"/>
    </row>
    <row r="372" spans="13:14" x14ac:dyDescent="0.25">
      <c r="M372" s="15"/>
      <c r="N372" s="15"/>
    </row>
    <row r="373" spans="13:14" x14ac:dyDescent="0.25">
      <c r="M373" s="15"/>
      <c r="N373" s="15"/>
    </row>
    <row r="374" spans="13:14" x14ac:dyDescent="0.25">
      <c r="M374" s="15"/>
      <c r="N374" s="15"/>
    </row>
    <row r="375" spans="13:14" x14ac:dyDescent="0.25">
      <c r="M375" s="15"/>
      <c r="N375" s="15"/>
    </row>
    <row r="376" spans="13:14" x14ac:dyDescent="0.25">
      <c r="M376" s="15"/>
      <c r="N376" s="15"/>
    </row>
    <row r="377" spans="13:14" x14ac:dyDescent="0.25">
      <c r="M377" s="15"/>
      <c r="N377" s="15"/>
    </row>
    <row r="378" spans="13:14" x14ac:dyDescent="0.25">
      <c r="M378" s="15"/>
      <c r="N378" s="15"/>
    </row>
    <row r="379" spans="13:14" x14ac:dyDescent="0.25">
      <c r="M379" s="15"/>
      <c r="N379" s="15"/>
    </row>
    <row r="380" spans="13:14" x14ac:dyDescent="0.25">
      <c r="M380" s="15"/>
      <c r="N380" s="15"/>
    </row>
    <row r="381" spans="13:14" x14ac:dyDescent="0.25">
      <c r="M381" s="15"/>
      <c r="N381" s="15"/>
    </row>
    <row r="382" spans="13:14" x14ac:dyDescent="0.25">
      <c r="M382" s="15"/>
      <c r="N382" s="15"/>
    </row>
    <row r="383" spans="13:14" x14ac:dyDescent="0.25">
      <c r="M383" s="15"/>
      <c r="N383" s="15"/>
    </row>
    <row r="384" spans="13:14" x14ac:dyDescent="0.25">
      <c r="M384" s="15"/>
      <c r="N384" s="15"/>
    </row>
    <row r="385" spans="13:14" x14ac:dyDescent="0.25">
      <c r="M385" s="15"/>
      <c r="N385" s="15"/>
    </row>
    <row r="386" spans="13:14" x14ac:dyDescent="0.25">
      <c r="M386" s="15"/>
      <c r="N386" s="15"/>
    </row>
    <row r="387" spans="13:14" x14ac:dyDescent="0.25">
      <c r="M387" s="15"/>
      <c r="N387" s="15"/>
    </row>
    <row r="388" spans="13:14" x14ac:dyDescent="0.25">
      <c r="M388" s="15"/>
      <c r="N388" s="15"/>
    </row>
    <row r="389" spans="13:14" x14ac:dyDescent="0.25">
      <c r="M389" s="15"/>
      <c r="N389" s="15"/>
    </row>
    <row r="390" spans="13:14" x14ac:dyDescent="0.25">
      <c r="M390" s="15"/>
      <c r="N390" s="15"/>
    </row>
    <row r="391" spans="13:14" x14ac:dyDescent="0.25">
      <c r="M391" s="15"/>
      <c r="N391" s="15"/>
    </row>
    <row r="392" spans="13:14" x14ac:dyDescent="0.25">
      <c r="M392" s="15"/>
      <c r="N392" s="15"/>
    </row>
    <row r="393" spans="13:14" x14ac:dyDescent="0.25">
      <c r="M393" s="15"/>
      <c r="N393" s="15"/>
    </row>
    <row r="394" spans="13:14" x14ac:dyDescent="0.25">
      <c r="M394" s="15"/>
      <c r="N394" s="15"/>
    </row>
    <row r="395" spans="13:14" x14ac:dyDescent="0.25">
      <c r="M395" s="15"/>
      <c r="N395" s="15"/>
    </row>
    <row r="396" spans="13:14" x14ac:dyDescent="0.25">
      <c r="M396" s="15"/>
      <c r="N396" s="15"/>
    </row>
    <row r="397" spans="13:14" x14ac:dyDescent="0.25">
      <c r="M397" s="15"/>
      <c r="N397" s="15"/>
    </row>
    <row r="398" spans="13:14" x14ac:dyDescent="0.25">
      <c r="M398" s="15"/>
      <c r="N398" s="15"/>
    </row>
    <row r="399" spans="13:14" x14ac:dyDescent="0.25">
      <c r="M399" s="15"/>
      <c r="N399" s="15"/>
    </row>
    <row r="400" spans="13:14" x14ac:dyDescent="0.25">
      <c r="M400" s="15"/>
      <c r="N400" s="15"/>
    </row>
    <row r="401" spans="13:14" x14ac:dyDescent="0.25">
      <c r="M401" s="15"/>
      <c r="N401" s="15"/>
    </row>
    <row r="402" spans="13:14" x14ac:dyDescent="0.25">
      <c r="M402" s="15"/>
      <c r="N402" s="15"/>
    </row>
    <row r="403" spans="13:14" x14ac:dyDescent="0.25">
      <c r="M403" s="15"/>
      <c r="N403" s="15"/>
    </row>
    <row r="404" spans="13:14" x14ac:dyDescent="0.25">
      <c r="M404" s="15"/>
      <c r="N404" s="15"/>
    </row>
    <row r="405" spans="13:14" x14ac:dyDescent="0.25">
      <c r="M405" s="15"/>
      <c r="N405" s="15"/>
    </row>
    <row r="406" spans="13:14" x14ac:dyDescent="0.25">
      <c r="M406" s="15"/>
      <c r="N406" s="15"/>
    </row>
    <row r="407" spans="13:14" x14ac:dyDescent="0.25">
      <c r="M407" s="15"/>
      <c r="N407" s="15"/>
    </row>
    <row r="408" spans="13:14" x14ac:dyDescent="0.25">
      <c r="M408" s="15"/>
      <c r="N408" s="15"/>
    </row>
    <row r="409" spans="13:14" x14ac:dyDescent="0.25">
      <c r="M409" s="15"/>
      <c r="N409" s="15"/>
    </row>
    <row r="410" spans="13:14" x14ac:dyDescent="0.25">
      <c r="M410" s="15"/>
      <c r="N410" s="15"/>
    </row>
    <row r="411" spans="13:14" x14ac:dyDescent="0.25">
      <c r="M411" s="15"/>
      <c r="N411" s="15"/>
    </row>
    <row r="412" spans="13:14" x14ac:dyDescent="0.25">
      <c r="M412" s="15"/>
      <c r="N412" s="15"/>
    </row>
    <row r="413" spans="13:14" x14ac:dyDescent="0.25">
      <c r="M413" s="15"/>
      <c r="N413" s="15"/>
    </row>
    <row r="414" spans="13:14" x14ac:dyDescent="0.25">
      <c r="M414" s="15"/>
      <c r="N414" s="15"/>
    </row>
    <row r="415" spans="13:14" x14ac:dyDescent="0.25">
      <c r="M415" s="15"/>
      <c r="N415" s="15"/>
    </row>
    <row r="416" spans="13:14" x14ac:dyDescent="0.25">
      <c r="M416" s="15"/>
      <c r="N416" s="15"/>
    </row>
    <row r="417" spans="13:14" x14ac:dyDescent="0.25">
      <c r="M417" s="15"/>
      <c r="N417" s="15"/>
    </row>
    <row r="418" spans="13:14" x14ac:dyDescent="0.25">
      <c r="M418" s="15"/>
      <c r="N418" s="15"/>
    </row>
    <row r="419" spans="13:14" x14ac:dyDescent="0.25">
      <c r="M419" s="15"/>
      <c r="N419" s="15"/>
    </row>
    <row r="420" spans="13:14" x14ac:dyDescent="0.25">
      <c r="M420" s="15"/>
      <c r="N420" s="15"/>
    </row>
    <row r="421" spans="13:14" x14ac:dyDescent="0.25">
      <c r="M421" s="15"/>
      <c r="N421" s="15"/>
    </row>
    <row r="422" spans="13:14" x14ac:dyDescent="0.25">
      <c r="M422" s="15"/>
      <c r="N422" s="15"/>
    </row>
    <row r="423" spans="13:14" x14ac:dyDescent="0.25">
      <c r="M423" s="15"/>
      <c r="N423" s="15"/>
    </row>
    <row r="424" spans="13:14" x14ac:dyDescent="0.25">
      <c r="M424" s="15"/>
      <c r="N424" s="15"/>
    </row>
    <row r="425" spans="13:14" x14ac:dyDescent="0.25">
      <c r="M425" s="15"/>
      <c r="N425" s="15"/>
    </row>
    <row r="426" spans="13:14" x14ac:dyDescent="0.25">
      <c r="M426" s="15"/>
      <c r="N426" s="15"/>
    </row>
    <row r="427" spans="13:14" x14ac:dyDescent="0.25">
      <c r="M427" s="15"/>
      <c r="N427" s="15"/>
    </row>
    <row r="428" spans="13:14" x14ac:dyDescent="0.25">
      <c r="M428" s="15"/>
      <c r="N428" s="15"/>
    </row>
    <row r="429" spans="13:14" x14ac:dyDescent="0.25">
      <c r="M429" s="15"/>
      <c r="N429" s="15"/>
    </row>
    <row r="430" spans="13:14" x14ac:dyDescent="0.25">
      <c r="M430" s="15"/>
      <c r="N430" s="15"/>
    </row>
    <row r="431" spans="13:14" x14ac:dyDescent="0.25">
      <c r="M431" s="15"/>
      <c r="N431" s="15"/>
    </row>
    <row r="432" spans="13:14" x14ac:dyDescent="0.25">
      <c r="M432" s="15"/>
      <c r="N432" s="15"/>
    </row>
    <row r="433" spans="13:14" x14ac:dyDescent="0.25">
      <c r="M433" s="15"/>
      <c r="N433" s="15"/>
    </row>
    <row r="434" spans="13:14" x14ac:dyDescent="0.25">
      <c r="M434" s="15"/>
      <c r="N434" s="15"/>
    </row>
    <row r="435" spans="13:14" x14ac:dyDescent="0.25">
      <c r="M435" s="15"/>
      <c r="N435" s="15"/>
    </row>
    <row r="436" spans="13:14" x14ac:dyDescent="0.25">
      <c r="M436" s="15"/>
      <c r="N436" s="15"/>
    </row>
    <row r="437" spans="13:14" x14ac:dyDescent="0.25">
      <c r="M437" s="15"/>
      <c r="N437" s="15"/>
    </row>
    <row r="438" spans="13:14" x14ac:dyDescent="0.25">
      <c r="M438" s="15"/>
      <c r="N438" s="15"/>
    </row>
    <row r="439" spans="13:14" x14ac:dyDescent="0.25">
      <c r="M439" s="15"/>
      <c r="N439" s="15"/>
    </row>
    <row r="440" spans="13:14" x14ac:dyDescent="0.25">
      <c r="M440" s="15"/>
      <c r="N440" s="15"/>
    </row>
    <row r="441" spans="13:14" x14ac:dyDescent="0.25">
      <c r="M441" s="15"/>
      <c r="N441" s="15"/>
    </row>
    <row r="442" spans="13:14" x14ac:dyDescent="0.25">
      <c r="M442" s="15"/>
      <c r="N442" s="15"/>
    </row>
    <row r="443" spans="13:14" x14ac:dyDescent="0.25">
      <c r="M443" s="15"/>
      <c r="N443" s="15"/>
    </row>
    <row r="444" spans="13:14" x14ac:dyDescent="0.25">
      <c r="M444" s="15"/>
      <c r="N444" s="15"/>
    </row>
    <row r="445" spans="13:14" x14ac:dyDescent="0.25">
      <c r="M445" s="15"/>
      <c r="N445" s="15"/>
    </row>
    <row r="446" spans="13:14" x14ac:dyDescent="0.25">
      <c r="M446" s="15"/>
      <c r="N446" s="15"/>
    </row>
    <row r="447" spans="13:14" x14ac:dyDescent="0.25">
      <c r="M447" s="15"/>
      <c r="N447" s="15"/>
    </row>
    <row r="448" spans="13:14" x14ac:dyDescent="0.25">
      <c r="M448" s="15"/>
      <c r="N448" s="15"/>
    </row>
    <row r="449" spans="13:14" x14ac:dyDescent="0.25">
      <c r="M449" s="15"/>
      <c r="N449" s="15"/>
    </row>
    <row r="450" spans="13:14" x14ac:dyDescent="0.25">
      <c r="M450" s="15"/>
      <c r="N450" s="15"/>
    </row>
    <row r="451" spans="13:14" x14ac:dyDescent="0.25">
      <c r="M451" s="15"/>
      <c r="N451" s="15"/>
    </row>
    <row r="452" spans="13:14" x14ac:dyDescent="0.25">
      <c r="M452" s="15"/>
      <c r="N452" s="15"/>
    </row>
    <row r="453" spans="13:14" x14ac:dyDescent="0.25">
      <c r="M453" s="15"/>
      <c r="N453" s="15"/>
    </row>
    <row r="454" spans="13:14" x14ac:dyDescent="0.25">
      <c r="M454" s="15"/>
      <c r="N454" s="15"/>
    </row>
    <row r="455" spans="13:14" x14ac:dyDescent="0.25">
      <c r="M455" s="15"/>
      <c r="N455" s="15"/>
    </row>
    <row r="456" spans="13:14" x14ac:dyDescent="0.25">
      <c r="M456" s="15"/>
      <c r="N456" s="15"/>
    </row>
    <row r="457" spans="13:14" x14ac:dyDescent="0.25">
      <c r="M457" s="15"/>
      <c r="N457" s="15"/>
    </row>
    <row r="458" spans="13:14" x14ac:dyDescent="0.25">
      <c r="M458" s="15"/>
      <c r="N458" s="15"/>
    </row>
    <row r="459" spans="13:14" x14ac:dyDescent="0.25">
      <c r="M459" s="15"/>
      <c r="N459" s="15"/>
    </row>
    <row r="460" spans="13:14" x14ac:dyDescent="0.25">
      <c r="M460" s="15"/>
      <c r="N460" s="15"/>
    </row>
    <row r="461" spans="13:14" x14ac:dyDescent="0.25">
      <c r="M461" s="15"/>
      <c r="N461" s="15"/>
    </row>
    <row r="462" spans="13:14" x14ac:dyDescent="0.25">
      <c r="M462" s="15"/>
      <c r="N462" s="15"/>
    </row>
    <row r="463" spans="13:14" x14ac:dyDescent="0.25">
      <c r="M463" s="15"/>
      <c r="N463" s="15"/>
    </row>
    <row r="464" spans="13:14" x14ac:dyDescent="0.25">
      <c r="M464" s="15"/>
      <c r="N464" s="15"/>
    </row>
    <row r="465" spans="13:14" x14ac:dyDescent="0.25">
      <c r="M465" s="15"/>
      <c r="N465" s="15"/>
    </row>
    <row r="466" spans="13:14" x14ac:dyDescent="0.25">
      <c r="M466" s="15"/>
      <c r="N466" s="15"/>
    </row>
    <row r="467" spans="13:14" x14ac:dyDescent="0.25">
      <c r="M467" s="15"/>
      <c r="N467" s="15"/>
    </row>
    <row r="468" spans="13:14" x14ac:dyDescent="0.25">
      <c r="M468" s="15"/>
      <c r="N468" s="15"/>
    </row>
    <row r="469" spans="13:14" x14ac:dyDescent="0.25">
      <c r="M469" s="15"/>
      <c r="N469" s="15"/>
    </row>
    <row r="470" spans="13:14" x14ac:dyDescent="0.25">
      <c r="M470" s="15"/>
      <c r="N470" s="15"/>
    </row>
    <row r="471" spans="13:14" x14ac:dyDescent="0.25">
      <c r="M471" s="15"/>
      <c r="N471" s="15"/>
    </row>
    <row r="472" spans="13:14" x14ac:dyDescent="0.25">
      <c r="M472" s="15"/>
      <c r="N472" s="15"/>
    </row>
    <row r="473" spans="13:14" x14ac:dyDescent="0.25">
      <c r="M473" s="15"/>
      <c r="N473" s="15"/>
    </row>
    <row r="474" spans="13:14" x14ac:dyDescent="0.25">
      <c r="M474" s="15"/>
      <c r="N474" s="15"/>
    </row>
    <row r="475" spans="13:14" x14ac:dyDescent="0.25">
      <c r="M475" s="15"/>
      <c r="N475" s="15"/>
    </row>
    <row r="476" spans="13:14" x14ac:dyDescent="0.25">
      <c r="M476" s="15"/>
      <c r="N476" s="15"/>
    </row>
    <row r="477" spans="13:14" x14ac:dyDescent="0.25">
      <c r="M477" s="15"/>
      <c r="N477" s="15"/>
    </row>
    <row r="478" spans="13:14" x14ac:dyDescent="0.25">
      <c r="M478" s="15"/>
      <c r="N478" s="15"/>
    </row>
    <row r="479" spans="13:14" x14ac:dyDescent="0.25">
      <c r="M479" s="15"/>
      <c r="N479" s="15"/>
    </row>
    <row r="480" spans="13:14" x14ac:dyDescent="0.25">
      <c r="M480" s="15"/>
      <c r="N480" s="15"/>
    </row>
    <row r="481" spans="13:14" x14ac:dyDescent="0.25">
      <c r="M481" s="15"/>
      <c r="N481" s="15"/>
    </row>
    <row r="482" spans="13:14" x14ac:dyDescent="0.25">
      <c r="M482" s="15"/>
      <c r="N482" s="15"/>
    </row>
    <row r="483" spans="13:14" x14ac:dyDescent="0.25">
      <c r="M483" s="15"/>
      <c r="N483" s="15"/>
    </row>
    <row r="484" spans="13:14" x14ac:dyDescent="0.25">
      <c r="M484" s="15"/>
      <c r="N484" s="15"/>
    </row>
    <row r="485" spans="13:14" x14ac:dyDescent="0.25">
      <c r="M485" s="15"/>
      <c r="N485" s="15"/>
    </row>
    <row r="486" spans="13:14" x14ac:dyDescent="0.25">
      <c r="M486" s="15"/>
      <c r="N486" s="15"/>
    </row>
    <row r="487" spans="13:14" x14ac:dyDescent="0.25">
      <c r="M487" s="15"/>
      <c r="N487" s="15"/>
    </row>
    <row r="488" spans="13:14" x14ac:dyDescent="0.25">
      <c r="M488" s="15"/>
      <c r="N488" s="15"/>
    </row>
    <row r="489" spans="13:14" x14ac:dyDescent="0.25">
      <c r="M489" s="15"/>
      <c r="N489" s="15"/>
    </row>
    <row r="490" spans="13:14" x14ac:dyDescent="0.25">
      <c r="M490" s="15"/>
      <c r="N490" s="15"/>
    </row>
    <row r="491" spans="13:14" x14ac:dyDescent="0.25">
      <c r="M491" s="15"/>
      <c r="N491" s="15"/>
    </row>
    <row r="492" spans="13:14" x14ac:dyDescent="0.25">
      <c r="M492" s="15"/>
      <c r="N492" s="15"/>
    </row>
    <row r="493" spans="13:14" x14ac:dyDescent="0.25">
      <c r="M493" s="15"/>
      <c r="N493" s="15"/>
    </row>
    <row r="494" spans="13:14" x14ac:dyDescent="0.25">
      <c r="M494" s="15"/>
      <c r="N494" s="15"/>
    </row>
    <row r="495" spans="13:14" x14ac:dyDescent="0.25">
      <c r="M495" s="15"/>
      <c r="N495" s="15"/>
    </row>
    <row r="496" spans="13:14" x14ac:dyDescent="0.25">
      <c r="M496" s="15"/>
      <c r="N496" s="15"/>
    </row>
    <row r="497" spans="13:14" x14ac:dyDescent="0.25">
      <c r="M497" s="15"/>
      <c r="N497" s="15"/>
    </row>
    <row r="498" spans="13:14" x14ac:dyDescent="0.25">
      <c r="M498" s="15"/>
      <c r="N498" s="15"/>
    </row>
    <row r="499" spans="13:14" x14ac:dyDescent="0.25">
      <c r="M499" s="15"/>
      <c r="N499" s="15"/>
    </row>
    <row r="500" spans="13:14" x14ac:dyDescent="0.25">
      <c r="M500" s="15"/>
      <c r="N500" s="15"/>
    </row>
  </sheetData>
  <autoFilter ref="A5:P500" xr:uid="{00000000-0009-0000-0000-000000000000}"/>
  <mergeCells count="17">
    <mergeCell ref="A27:C27"/>
    <mergeCell ref="A28:C28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:P1"/>
    <mergeCell ref="A2:P2"/>
    <mergeCell ref="A3:P3"/>
    <mergeCell ref="A15:D15"/>
    <mergeCell ref="A16:C16"/>
  </mergeCells>
  <conditionalFormatting sqref="H6:H500">
    <cfRule type="cellIs" dxfId="3" priority="2" operator="equal">
      <formula>"No cumple"</formula>
    </cfRule>
    <cfRule type="cellIs" dxfId="2" priority="3" operator="equal">
      <formula>"Cumple"</formula>
    </cfRule>
  </conditionalFormatting>
  <conditionalFormatting sqref="O6:O500">
    <cfRule type="cellIs" dxfId="1" priority="4" operator="equal">
      <formula>"Extraviado"</formula>
    </cfRule>
    <cfRule type="cellIs" dxfId="0" priority="5" operator="equal">
      <formula>"Inactivo"</formula>
    </cfRule>
  </conditionalFormatting>
  <dataValidations count="6">
    <dataValidation type="list" allowBlank="1" showErrorMessage="1" errorTitle="Valor no válido" error="Seleccione una opción de la lista." sqref="B6:B500" xr:uid="{00000000-0002-0000-0000-000000000000}">
      <formula1>"Smartphone,Tableta"</formula1>
      <formula2>0</formula2>
    </dataValidation>
    <dataValidation type="list" allowBlank="1" showErrorMessage="1" errorTitle="Valor no válido" error="Seleccione una opción de la lista." sqref="E6:E500" xr:uid="{00000000-0002-0000-0000-000001000000}">
      <formula1>"Android,iOS,iPadOS"</formula1>
      <formula2>0</formula2>
    </dataValidation>
    <dataValidation type="list" allowBlank="1" showErrorMessage="1" errorTitle="Valor no válido" error="Seleccione una opción de la lista." sqref="H6:H500" xr:uid="{00000000-0002-0000-0000-000002000000}">
      <formula1>"Cumple,No cumple,Pendiente de verificación"</formula1>
      <formula2>0</formula2>
    </dataValidation>
    <dataValidation type="list" allowBlank="1" showErrorMessage="1" errorTitle="Valor no válido" error="Seleccione una opción de la lista." sqref="I6:I500" xr:uid="{00000000-0002-0000-0000-000003000000}">
      <formula1>"Corporativo,BYOD"</formula1>
      <formula2>0</formula2>
    </dataValidation>
    <dataValidation type="list" allowBlank="1" showErrorMessage="1" errorTitle="Valor no válido" error="Seleccione una opción de la lista." sqref="L6:L500" xr:uid="{00000000-0002-0000-0000-000004000000}">
      <formula1>"Enrolado,No enrolado,Enrolamiento revocado"</formula1>
      <formula2>0</formula2>
    </dataValidation>
    <dataValidation type="list" allowBlank="1" showErrorMessage="1" errorTitle="Valor no válido" error="Seleccione una opción de la lista." sqref="O6:O500" xr:uid="{00000000-0002-0000-0000-000005000000}">
      <formula1>"Activo,Inactivo,Extraviado,Retirado"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zoomScaleNormal="100" workbookViewId="0"/>
  </sheetViews>
  <sheetFormatPr baseColWidth="10" defaultColWidth="8.7109375" defaultRowHeight="15" x14ac:dyDescent="0.25"/>
  <cols>
    <col min="1" max="1" width="28" customWidth="1"/>
    <col min="2" max="2" width="70" customWidth="1"/>
  </cols>
  <sheetData>
    <row r="1" spans="1:2" ht="24" customHeight="1" x14ac:dyDescent="0.25">
      <c r="A1" s="1" t="s">
        <v>90</v>
      </c>
      <c r="B1" s="1"/>
    </row>
    <row r="2" spans="1:2" ht="18" customHeight="1" x14ac:dyDescent="0.25">
      <c r="A2" s="6" t="s">
        <v>91</v>
      </c>
      <c r="B2" s="6"/>
    </row>
    <row r="3" spans="1:2" ht="9.75" customHeight="1" x14ac:dyDescent="0.25"/>
    <row r="4" spans="1:2" ht="19.5" customHeight="1" x14ac:dyDescent="0.25">
      <c r="A4" s="18" t="s">
        <v>92</v>
      </c>
      <c r="B4" s="18" t="s">
        <v>93</v>
      </c>
    </row>
    <row r="5" spans="1:2" ht="39.75" customHeight="1" x14ac:dyDescent="0.25">
      <c r="A5" s="19" t="s">
        <v>3</v>
      </c>
      <c r="B5" s="20" t="s">
        <v>94</v>
      </c>
    </row>
    <row r="6" spans="1:2" ht="39.75" customHeight="1" x14ac:dyDescent="0.25">
      <c r="A6" s="21" t="s">
        <v>4</v>
      </c>
      <c r="B6" s="22" t="s">
        <v>95</v>
      </c>
    </row>
    <row r="7" spans="1:2" ht="39.75" customHeight="1" x14ac:dyDescent="0.25">
      <c r="A7" s="19" t="s">
        <v>5</v>
      </c>
      <c r="B7" s="20" t="s">
        <v>96</v>
      </c>
    </row>
    <row r="8" spans="1:2" ht="39.75" customHeight="1" x14ac:dyDescent="0.25">
      <c r="A8" s="21" t="s">
        <v>6</v>
      </c>
      <c r="B8" s="22" t="s">
        <v>97</v>
      </c>
    </row>
    <row r="9" spans="1:2" ht="39.75" customHeight="1" x14ac:dyDescent="0.25">
      <c r="A9" s="19" t="s">
        <v>7</v>
      </c>
      <c r="B9" s="20" t="s">
        <v>98</v>
      </c>
    </row>
    <row r="10" spans="1:2" ht="39.75" customHeight="1" x14ac:dyDescent="0.25">
      <c r="A10" s="21" t="s">
        <v>8</v>
      </c>
      <c r="B10" s="22" t="s">
        <v>99</v>
      </c>
    </row>
    <row r="11" spans="1:2" ht="39.75" customHeight="1" x14ac:dyDescent="0.25">
      <c r="A11" s="19" t="s">
        <v>9</v>
      </c>
      <c r="B11" s="20" t="s">
        <v>100</v>
      </c>
    </row>
    <row r="12" spans="1:2" ht="39.75" customHeight="1" x14ac:dyDescent="0.25">
      <c r="A12" s="21" t="s">
        <v>10</v>
      </c>
      <c r="B12" s="22" t="s">
        <v>101</v>
      </c>
    </row>
    <row r="13" spans="1:2" ht="39.75" customHeight="1" x14ac:dyDescent="0.25">
      <c r="A13" s="19" t="s">
        <v>11</v>
      </c>
      <c r="B13" s="20" t="s">
        <v>102</v>
      </c>
    </row>
    <row r="14" spans="1:2" ht="39.75" customHeight="1" x14ac:dyDescent="0.25">
      <c r="A14" s="21" t="s">
        <v>12</v>
      </c>
      <c r="B14" s="22" t="s">
        <v>103</v>
      </c>
    </row>
    <row r="15" spans="1:2" ht="39.75" customHeight="1" x14ac:dyDescent="0.25">
      <c r="A15" s="19" t="s">
        <v>13</v>
      </c>
      <c r="B15" s="20" t="s">
        <v>104</v>
      </c>
    </row>
    <row r="16" spans="1:2" ht="39.75" customHeight="1" x14ac:dyDescent="0.25">
      <c r="A16" s="21" t="s">
        <v>14</v>
      </c>
      <c r="B16" s="22" t="s">
        <v>105</v>
      </c>
    </row>
    <row r="17" spans="1:2" ht="39.75" customHeight="1" x14ac:dyDescent="0.25">
      <c r="A17" s="19" t="s">
        <v>15</v>
      </c>
      <c r="B17" s="20" t="s">
        <v>106</v>
      </c>
    </row>
    <row r="18" spans="1:2" ht="39.75" customHeight="1" x14ac:dyDescent="0.25">
      <c r="A18" s="21" t="s">
        <v>16</v>
      </c>
      <c r="B18" s="22" t="s">
        <v>107</v>
      </c>
    </row>
    <row r="19" spans="1:2" ht="39.75" customHeight="1" x14ac:dyDescent="0.25">
      <c r="A19" s="19" t="s">
        <v>17</v>
      </c>
      <c r="B19" s="20" t="s">
        <v>108</v>
      </c>
    </row>
    <row r="20" spans="1:2" ht="39.75" customHeight="1" x14ac:dyDescent="0.25">
      <c r="A20" s="21" t="s">
        <v>18</v>
      </c>
      <c r="B20" s="22" t="s">
        <v>109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Moviles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2026-06-26T23:30:58Z</dcterms:created>
  <dcterms:modified xsi:type="dcterms:W3CDTF">2026-06-26T23:34:11Z</dcterms:modified>
  <dc:language>en-US</dc:language>
</cp:coreProperties>
</file>