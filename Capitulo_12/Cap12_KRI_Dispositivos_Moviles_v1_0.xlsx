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AC38310C9C269AC45782B08E8616655968D85854" xr6:coauthVersionLast="47" xr6:coauthVersionMax="47" xr10:uidLastSave="{1BE5CA94-9A7C-4E95-BC93-BEE0B3D02254}"/>
  <bookViews>
    <workbookView xWindow="2340" yWindow="2340" windowWidth="21600" windowHeight="11505" tabRatio="500" xr2:uid="{00000000-000D-0000-FFFF-FFFF00000000}"/>
  </bookViews>
  <sheets>
    <sheet name="Registro KRI Moviles" sheetId="1" r:id="rId1"/>
    <sheet name="Dashboard" sheetId="2" r:id="rId2"/>
  </sheets>
  <definedNames>
    <definedName name="_xlnm._FilterDatabase" localSheetId="0" hidden="1">'Registro KRI Moviles'!$A$4:$J$23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7" i="2" l="1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E7" i="2"/>
  <c r="F6" i="2"/>
  <c r="F7" i="2" s="1"/>
  <c r="E6" i="2"/>
  <c r="D6" i="2"/>
  <c r="C6" i="2"/>
  <c r="B6" i="2"/>
  <c r="B7" i="2" s="1"/>
  <c r="F5" i="2"/>
  <c r="E5" i="2"/>
  <c r="D5" i="2"/>
  <c r="C5" i="2"/>
  <c r="C7" i="2" s="1"/>
  <c r="B5" i="2"/>
  <c r="F4" i="2"/>
  <c r="E4" i="2"/>
  <c r="D4" i="2"/>
  <c r="D7" i="2" s="1"/>
  <c r="C4" i="2"/>
  <c r="B4" i="2"/>
</calcChain>
</file>

<file path=xl/sharedStrings.xml><?xml version="1.0" encoding="utf-8"?>
<sst xmlns="http://schemas.openxmlformats.org/spreadsheetml/2006/main" count="109" uniqueCount="56">
  <si>
    <t>CIBERPROTECCIÓN PARA PyMES  ·  Capítulo 12 — Dispositivos Móviles  ·  Indicadores Clave de Riesgo (KRI)</t>
  </si>
  <si>
    <t>Plantilla 12.5  ·  Registro de Revisión Periódica  ·  Versión 1.0</t>
  </si>
  <si>
    <t>Instrucciones: Registre el valor observado, el estado y la acción ejecutada en cada revisión. KRI-MOV-03 y KRI-MOV-05 son de alerta inmediata. KRI-MOV-01, 02 y 04: revisión semanal. KRI-MOV-06 y 07: revisión mensual.</t>
  </si>
  <si>
    <t>ID</t>
  </si>
  <si>
    <t>Descripción del indicador</t>
  </si>
  <si>
    <t>Umbral</t>
  </si>
  <si>
    <t>Frecuencia</t>
  </si>
  <si>
    <t>Valor observado</t>
  </si>
  <si>
    <t>Estado</t>
  </si>
  <si>
    <t>Fecha de revisión</t>
  </si>
  <si>
    <t>Responsable</t>
  </si>
  <si>
    <t>Acción ejecutada</t>
  </si>
  <si>
    <t>Observaciones</t>
  </si>
  <si>
    <t>INMEDIATA</t>
  </si>
  <si>
    <t>KRI-MOV-03</t>
  </si>
  <si>
    <t>Dispositivos con perfil MDM eliminado o modificado</t>
  </si>
  <si>
    <t>Cualquier ocurrencia</t>
  </si>
  <si>
    <t>Inmediata</t>
  </si>
  <si>
    <t>Pendiente</t>
  </si>
  <si>
    <t>KRI-MOV-05</t>
  </si>
  <si>
    <t>Dispositivos perdidos o robados sin wipe-out ejecutado</t>
  </si>
  <si>
    <t>SEMANAL</t>
  </si>
  <si>
    <t>KRI-MOV-01</t>
  </si>
  <si>
    <t>Dispositivos con SO por debajo de la línea base</t>
  </si>
  <si>
    <t>&gt; 5% de la flota</t>
  </si>
  <si>
    <t>Semanal</t>
  </si>
  <si>
    <t>KRI-MOV-02</t>
  </si>
  <si>
    <t>Dispositivos sin sincronización con consola MDM</t>
  </si>
  <si>
    <t>&gt; 7 días sin contacto</t>
  </si>
  <si>
    <t>KRI-MOV-04</t>
  </si>
  <si>
    <t>Dispositivos con aplicaciones no autorizadas instaladas</t>
  </si>
  <si>
    <t>MENSUAL</t>
  </si>
  <si>
    <t>KRI-MOV-06</t>
  </si>
  <si>
    <t>Dispositivos BYOD activos sin acuerdo firmado</t>
  </si>
  <si>
    <t>Mensual</t>
  </si>
  <si>
    <t>KRI-MOV-07</t>
  </si>
  <si>
    <t>Dispositivos con SO fuera de soporte del fabricante (EOL)</t>
  </si>
  <si>
    <t>Ciberprotección para PyMES. Guía Práctica.  ·  Plantilla 12.5  ·  github.com/MauricioVergaraMPC/ciberpymes / Capitulo_12</t>
  </si>
  <si>
    <t>CIBERPROTECCIÓN PARA PyMES  ·  Capítulo 12 — Dispositivos Móviles  ·  KRI Dashboard</t>
  </si>
  <si>
    <t>Estado de Indicadores Clave de Riesgo — Dispositivos Móviles</t>
  </si>
  <si>
    <t>Total KRI</t>
  </si>
  <si>
    <t>En revisión</t>
  </si>
  <si>
    <t>Cerrado / N/A</t>
  </si>
  <si>
    <t>TOTAL GENERAL</t>
  </si>
  <si>
    <t>Resumen por KRI</t>
  </si>
  <si>
    <t>KRI</t>
  </si>
  <si>
    <t>Descripción</t>
  </si>
  <si>
    <t>Último estado</t>
  </si>
  <si>
    <t>Última revisión</t>
  </si>
  <si>
    <t>&gt; 5% flota</t>
  </si>
  <si>
    <t>Dispositivos sin sincronización MDM</t>
  </si>
  <si>
    <t>&gt; 7 días</t>
  </si>
  <si>
    <t>Cualquier</t>
  </si>
  <si>
    <t>Dispositivos con apps no autorizadas instaladas</t>
  </si>
  <si>
    <t>Dispositivos perdidos/robados sin wipe-out ejecutado</t>
  </si>
  <si>
    <t>Dispositivos con SO EOL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</si>
</sst>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sz val="9"/>
      <color rgb="FF555555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sz val="10"/>
      <name val="Calibri"/>
      <charset val="1"/>
    </font>
    <font>
      <i/>
      <sz val="9"/>
      <color rgb="FF555555"/>
      <name val="Calibri"/>
      <charset val="1"/>
    </font>
    <font>
      <b/>
      <sz val="10"/>
      <name val="Calibri"/>
      <charset val="1"/>
    </font>
    <font>
      <sz val="10"/>
      <color rgb="FFC00000"/>
      <name val="Calibri"/>
      <charset val="1"/>
    </font>
    <font>
      <sz val="10"/>
      <color rgb="FFBA7517"/>
      <name val="Calibri"/>
      <charset val="1"/>
    </font>
    <font>
      <sz val="10"/>
      <color rgb="FF375623"/>
      <name val="Calibri"/>
      <charset val="1"/>
    </font>
    <font>
      <sz val="10"/>
      <color rgb="FF555555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185FA5"/>
        <bgColor rgb="FF2E6DA4"/>
      </patternFill>
    </fill>
    <fill>
      <patternFill patternType="solid">
        <fgColor rgb="FFFFF8F0"/>
        <bgColor rgb="FFF5F5F2"/>
      </patternFill>
    </fill>
    <fill>
      <patternFill patternType="solid">
        <fgColor rgb="FFA32D2D"/>
        <bgColor rgb="FF993366"/>
      </patternFill>
    </fill>
    <fill>
      <patternFill patternType="solid">
        <fgColor rgb="FFFFFFFF"/>
        <bgColor rgb="FFFFF8F0"/>
      </patternFill>
    </fill>
    <fill>
      <patternFill patternType="solid">
        <fgColor rgb="FFF5F5F2"/>
        <bgColor rgb="FFFFF8F0"/>
      </patternFill>
    </fill>
    <fill>
      <patternFill patternType="solid">
        <fgColor rgb="FF2E6DA4"/>
        <bgColor rgb="FF185FA5"/>
      </patternFill>
    </fill>
    <fill>
      <patternFill patternType="solid">
        <fgColor rgb="FFBA7517"/>
        <bgColor rgb="FFFF6600"/>
      </patternFill>
    </fill>
    <fill>
      <patternFill patternType="solid">
        <fgColor rgb="FFB5D4F4"/>
        <bgColor rgb="FF99CC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7" fillId="0" borderId="0" xfId="0" applyFont="1" applyAlignment="1">
      <alignment horizontal="center" vertical="center"/>
    </xf>
    <xf numFmtId="0" fontId="4" fillId="9" borderId="0" xfId="0" applyFont="1" applyFill="1" applyAlignment="1">
      <alignment horizontal="left" vertical="center" indent="1"/>
    </xf>
    <xf numFmtId="0" fontId="4" fillId="8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 inden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 indent="1"/>
    </xf>
    <xf numFmtId="164" fontId="5" fillId="7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/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/>
    <xf numFmtId="0" fontId="6" fillId="6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/>
    <xf numFmtId="0" fontId="4" fillId="5" borderId="1" xfId="0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indent="1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8" fillId="10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C00000"/>
      </font>
      <fill>
        <patternFill>
          <bgColor rgb="FFFCE4D6"/>
        </patternFill>
      </fill>
    </dxf>
    <dxf>
      <font>
        <b/>
        <color rgb="FFBA7517"/>
      </font>
      <fill>
        <patternFill>
          <bgColor rgb="FFFFF2CC"/>
        </patternFill>
      </fill>
    </dxf>
    <dxf>
      <font>
        <color rgb="FF375623"/>
      </font>
      <fill>
        <patternFill>
          <bgColor rgb="FFE2EFDA"/>
        </patternFill>
      </fill>
    </dxf>
    <dxf>
      <font>
        <b/>
        <color rgb="FF375623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CCCCCC"/>
      <rgbColor rgb="FF808080"/>
      <rgbColor rgb="FF9999FF"/>
      <rgbColor rgb="FF993366"/>
      <rgbColor rgb="FFFFF2CC"/>
      <rgbColor rgb="FFF5F5F2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8F0"/>
      <rgbColor rgb="FFE2EFDA"/>
      <rgbColor rgb="FFFFFF99"/>
      <rgbColor rgb="FF99CCFF"/>
      <rgbColor rgb="FFFF99CC"/>
      <rgbColor rgb="FFCC99FF"/>
      <rgbColor rgb="FFFCE4D6"/>
      <rgbColor rgb="FF2E6DA4"/>
      <rgbColor rgb="FF33CCCC"/>
      <rgbColor rgb="FF99CC00"/>
      <rgbColor rgb="FFFFCC00"/>
      <rgbColor rgb="FFFF9900"/>
      <rgbColor rgb="FFFF6600"/>
      <rgbColor rgb="FF555555"/>
      <rgbColor rgb="FF969696"/>
      <rgbColor rgb="FF0F3F6E"/>
      <rgbColor rgb="FF339966"/>
      <rgbColor rgb="FF003300"/>
      <rgbColor rgb="FF333300"/>
      <rgbColor rgb="FFA32D2D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J1"/>
    </sheetView>
  </sheetViews>
  <sheetFormatPr baseColWidth="10" defaultColWidth="8.7109375" defaultRowHeight="15" x14ac:dyDescent="0.25"/>
  <cols>
    <col min="1" max="1" width="14" customWidth="1"/>
    <col min="2" max="2" width="48" customWidth="1"/>
    <col min="3" max="4" width="14" customWidth="1"/>
    <col min="5" max="5" width="18" customWidth="1"/>
    <col min="6" max="6" width="14" customWidth="1"/>
    <col min="7" max="7" width="16" customWidth="1"/>
    <col min="8" max="8" width="22" customWidth="1"/>
    <col min="9" max="9" width="38" customWidth="1"/>
    <col min="10" max="10" width="26" customWidth="1"/>
  </cols>
  <sheetData>
    <row r="1" spans="1:10" ht="21.7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18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0" ht="27.75" customHeight="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ht="27.75" customHeight="1" x14ac:dyDescent="0.25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</row>
    <row r="5" spans="1:10" ht="18" customHeight="1" x14ac:dyDescent="0.25">
      <c r="A5" s="4" t="s">
        <v>13</v>
      </c>
      <c r="B5" s="4"/>
      <c r="C5" s="4"/>
      <c r="D5" s="4"/>
      <c r="E5" s="4"/>
      <c r="F5" s="4"/>
      <c r="G5" s="4"/>
      <c r="H5" s="4"/>
      <c r="I5" s="4"/>
      <c r="J5" s="4"/>
    </row>
    <row r="6" spans="1:10" ht="30" customHeight="1" x14ac:dyDescent="0.25">
      <c r="A6" s="9" t="s">
        <v>14</v>
      </c>
      <c r="B6" s="10" t="s">
        <v>15</v>
      </c>
      <c r="C6" s="9" t="s">
        <v>16</v>
      </c>
      <c r="D6" s="9" t="s">
        <v>17</v>
      </c>
      <c r="E6" s="10"/>
      <c r="F6" s="9" t="s">
        <v>18</v>
      </c>
      <c r="G6" s="11"/>
      <c r="H6" s="10"/>
      <c r="I6" s="10"/>
      <c r="J6" s="10"/>
    </row>
    <row r="7" spans="1:10" ht="30" customHeight="1" x14ac:dyDescent="0.25">
      <c r="A7" s="12" t="s">
        <v>19</v>
      </c>
      <c r="B7" s="13" t="s">
        <v>20</v>
      </c>
      <c r="C7" s="12" t="s">
        <v>16</v>
      </c>
      <c r="D7" s="12" t="s">
        <v>17</v>
      </c>
      <c r="E7" s="13"/>
      <c r="F7" s="12" t="s">
        <v>18</v>
      </c>
      <c r="G7" s="14"/>
      <c r="H7" s="13"/>
      <c r="I7" s="13"/>
      <c r="J7" s="13"/>
    </row>
    <row r="8" spans="1:10" ht="21.75" customHeight="1" x14ac:dyDescent="0.25">
      <c r="A8" s="15"/>
      <c r="B8" s="15"/>
      <c r="C8" s="15"/>
      <c r="D8" s="15"/>
      <c r="E8" s="15"/>
      <c r="F8" s="16" t="s">
        <v>18</v>
      </c>
      <c r="G8" s="17"/>
      <c r="H8" s="15"/>
      <c r="I8" s="15"/>
      <c r="J8" s="15"/>
    </row>
    <row r="9" spans="1:10" ht="21.75" customHeight="1" x14ac:dyDescent="0.25">
      <c r="A9" s="18"/>
      <c r="B9" s="18"/>
      <c r="C9" s="18"/>
      <c r="D9" s="18"/>
      <c r="E9" s="18"/>
      <c r="F9" s="19" t="s">
        <v>18</v>
      </c>
      <c r="G9" s="20"/>
      <c r="H9" s="18"/>
      <c r="I9" s="18"/>
      <c r="J9" s="18"/>
    </row>
    <row r="10" spans="1:10" ht="21.75" customHeight="1" x14ac:dyDescent="0.25">
      <c r="A10" s="15"/>
      <c r="B10" s="15"/>
      <c r="C10" s="15"/>
      <c r="D10" s="15"/>
      <c r="E10" s="15"/>
      <c r="F10" s="16" t="s">
        <v>18</v>
      </c>
      <c r="G10" s="17"/>
      <c r="H10" s="15"/>
      <c r="I10" s="15"/>
      <c r="J10" s="15"/>
    </row>
    <row r="11" spans="1:10" ht="18" customHeight="1" x14ac:dyDescent="0.25">
      <c r="A11" s="3" t="s">
        <v>21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ht="30" customHeight="1" x14ac:dyDescent="0.25">
      <c r="A12" s="9" t="s">
        <v>22</v>
      </c>
      <c r="B12" s="10" t="s">
        <v>23</v>
      </c>
      <c r="C12" s="9" t="s">
        <v>24</v>
      </c>
      <c r="D12" s="9" t="s">
        <v>25</v>
      </c>
      <c r="E12" s="10"/>
      <c r="F12" s="9" t="s">
        <v>18</v>
      </c>
      <c r="G12" s="11"/>
      <c r="H12" s="10"/>
      <c r="I12" s="10"/>
      <c r="J12" s="10"/>
    </row>
    <row r="13" spans="1:10" ht="30" customHeight="1" x14ac:dyDescent="0.25">
      <c r="A13" s="12" t="s">
        <v>26</v>
      </c>
      <c r="B13" s="13" t="s">
        <v>27</v>
      </c>
      <c r="C13" s="12" t="s">
        <v>28</v>
      </c>
      <c r="D13" s="12" t="s">
        <v>25</v>
      </c>
      <c r="E13" s="13"/>
      <c r="F13" s="12" t="s">
        <v>18</v>
      </c>
      <c r="G13" s="14"/>
      <c r="H13" s="13"/>
      <c r="I13" s="13"/>
      <c r="J13" s="13"/>
    </row>
    <row r="14" spans="1:10" ht="30" customHeight="1" x14ac:dyDescent="0.25">
      <c r="A14" s="9" t="s">
        <v>29</v>
      </c>
      <c r="B14" s="10" t="s">
        <v>30</v>
      </c>
      <c r="C14" s="9" t="s">
        <v>16</v>
      </c>
      <c r="D14" s="9" t="s">
        <v>25</v>
      </c>
      <c r="E14" s="10"/>
      <c r="F14" s="9" t="s">
        <v>18</v>
      </c>
      <c r="G14" s="11"/>
      <c r="H14" s="10"/>
      <c r="I14" s="10"/>
      <c r="J14" s="10"/>
    </row>
    <row r="15" spans="1:10" ht="21.75" customHeight="1" x14ac:dyDescent="0.25">
      <c r="A15" s="15"/>
      <c r="B15" s="15"/>
      <c r="C15" s="15"/>
      <c r="D15" s="15"/>
      <c r="E15" s="15"/>
      <c r="F15" s="16" t="s">
        <v>18</v>
      </c>
      <c r="G15" s="17"/>
      <c r="H15" s="15"/>
      <c r="I15" s="15"/>
      <c r="J15" s="15"/>
    </row>
    <row r="16" spans="1:10" ht="21.75" customHeight="1" x14ac:dyDescent="0.25">
      <c r="A16" s="18"/>
      <c r="B16" s="18"/>
      <c r="C16" s="18"/>
      <c r="D16" s="18"/>
      <c r="E16" s="18"/>
      <c r="F16" s="19" t="s">
        <v>18</v>
      </c>
      <c r="G16" s="20"/>
      <c r="H16" s="18"/>
      <c r="I16" s="18"/>
      <c r="J16" s="18"/>
    </row>
    <row r="17" spans="1:10" ht="21.75" customHeight="1" x14ac:dyDescent="0.25">
      <c r="A17" s="15"/>
      <c r="B17" s="15"/>
      <c r="C17" s="15"/>
      <c r="D17" s="15"/>
      <c r="E17" s="15"/>
      <c r="F17" s="16" t="s">
        <v>18</v>
      </c>
      <c r="G17" s="17"/>
      <c r="H17" s="15"/>
      <c r="I17" s="15"/>
      <c r="J17" s="15"/>
    </row>
    <row r="18" spans="1:10" ht="18" customHeight="1" x14ac:dyDescent="0.25">
      <c r="A18" s="2" t="s">
        <v>31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30" customHeight="1" x14ac:dyDescent="0.25">
      <c r="A19" s="9" t="s">
        <v>32</v>
      </c>
      <c r="B19" s="10" t="s">
        <v>33</v>
      </c>
      <c r="C19" s="9" t="s">
        <v>16</v>
      </c>
      <c r="D19" s="9" t="s">
        <v>34</v>
      </c>
      <c r="E19" s="10"/>
      <c r="F19" s="9" t="s">
        <v>18</v>
      </c>
      <c r="G19" s="11"/>
      <c r="H19" s="10"/>
      <c r="I19" s="10"/>
      <c r="J19" s="10"/>
    </row>
    <row r="20" spans="1:10" ht="30" customHeight="1" x14ac:dyDescent="0.25">
      <c r="A20" s="12" t="s">
        <v>35</v>
      </c>
      <c r="B20" s="13" t="s">
        <v>36</v>
      </c>
      <c r="C20" s="12" t="s">
        <v>16</v>
      </c>
      <c r="D20" s="12" t="s">
        <v>34</v>
      </c>
      <c r="E20" s="13"/>
      <c r="F20" s="12" t="s">
        <v>18</v>
      </c>
      <c r="G20" s="14"/>
      <c r="H20" s="13"/>
      <c r="I20" s="13"/>
      <c r="J20" s="13"/>
    </row>
    <row r="21" spans="1:10" ht="21.75" customHeight="1" x14ac:dyDescent="0.25">
      <c r="A21" s="15"/>
      <c r="B21" s="15"/>
      <c r="C21" s="15"/>
      <c r="D21" s="15"/>
      <c r="E21" s="15"/>
      <c r="F21" s="16" t="s">
        <v>18</v>
      </c>
      <c r="G21" s="17"/>
      <c r="H21" s="15"/>
      <c r="I21" s="15"/>
      <c r="J21" s="15"/>
    </row>
    <row r="22" spans="1:10" ht="21.75" customHeight="1" x14ac:dyDescent="0.25">
      <c r="A22" s="18"/>
      <c r="B22" s="18"/>
      <c r="C22" s="18"/>
      <c r="D22" s="18"/>
      <c r="E22" s="18"/>
      <c r="F22" s="19" t="s">
        <v>18</v>
      </c>
      <c r="G22" s="20"/>
      <c r="H22" s="18"/>
      <c r="I22" s="18"/>
      <c r="J22" s="18"/>
    </row>
    <row r="23" spans="1:10" ht="21.75" customHeight="1" x14ac:dyDescent="0.25">
      <c r="A23" s="15"/>
      <c r="B23" s="15"/>
      <c r="C23" s="15"/>
      <c r="D23" s="15"/>
      <c r="E23" s="15"/>
      <c r="F23" s="16" t="s">
        <v>18</v>
      </c>
      <c r="G23" s="17"/>
      <c r="H23" s="15"/>
      <c r="I23" s="15"/>
      <c r="J23" s="15"/>
    </row>
    <row r="25" spans="1:10" x14ac:dyDescent="0.25">
      <c r="A25" s="1" t="s">
        <v>37</v>
      </c>
      <c r="B25" s="1"/>
      <c r="C25" s="1"/>
      <c r="D25" s="1"/>
      <c r="E25" s="1"/>
      <c r="F25" s="1"/>
      <c r="G25" s="1"/>
      <c r="H25" s="1"/>
      <c r="I25" s="1"/>
      <c r="J25" s="1"/>
    </row>
  </sheetData>
  <autoFilter ref="A4:J23" xr:uid="{00000000-0009-0000-0000-000000000000}"/>
  <mergeCells count="7">
    <mergeCell ref="A18:J18"/>
    <mergeCell ref="A25:J25"/>
    <mergeCell ref="A1:J1"/>
    <mergeCell ref="A2:J2"/>
    <mergeCell ref="A3:J3"/>
    <mergeCell ref="A5:J5"/>
    <mergeCell ref="A11:J11"/>
  </mergeCells>
  <conditionalFormatting sqref="F5:F23">
    <cfRule type="cellIs" dxfId="3" priority="2" operator="equal">
      <formula>"Acción ejecutada"</formula>
    </cfRule>
    <cfRule type="cellIs" dxfId="2" priority="3" operator="equal">
      <formula>"Cerrado"</formula>
    </cfRule>
    <cfRule type="cellIs" dxfId="1" priority="4" operator="equal">
      <formula>"En revisión"</formula>
    </cfRule>
    <cfRule type="cellIs" dxfId="0" priority="5" operator="equal">
      <formula>"Pendiente"</formula>
    </cfRule>
  </conditionalFormatting>
  <dataValidations count="1">
    <dataValidation type="list" allowBlank="1" showErrorMessage="1" errorTitle="Valor no válido" error="Seleccione una opción válida." sqref="F5:F23" xr:uid="{00000000-0002-0000-0000-000000000000}">
      <formula1>"Pendiente,En revisión,Acción ejecutada,Cerrado,No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7109375" defaultRowHeight="15" x14ac:dyDescent="0.25"/>
  <cols>
    <col min="1" max="1" width="22" customWidth="1"/>
    <col min="2" max="6" width="14" customWidth="1"/>
  </cols>
  <sheetData>
    <row r="1" spans="1:6" ht="21.75" customHeight="1" x14ac:dyDescent="0.25">
      <c r="A1" s="7" t="s">
        <v>38</v>
      </c>
      <c r="B1" s="7"/>
      <c r="C1" s="7"/>
      <c r="D1" s="7"/>
      <c r="E1" s="7"/>
      <c r="F1" s="7"/>
    </row>
    <row r="2" spans="1:6" ht="18" customHeight="1" x14ac:dyDescent="0.25">
      <c r="A2" s="6" t="s">
        <v>39</v>
      </c>
      <c r="B2" s="6"/>
      <c r="C2" s="6"/>
      <c r="D2" s="6"/>
      <c r="E2" s="6"/>
      <c r="F2" s="6"/>
    </row>
    <row r="3" spans="1:6" ht="27.75" customHeight="1" x14ac:dyDescent="0.25">
      <c r="A3" s="8" t="s">
        <v>6</v>
      </c>
      <c r="B3" s="8" t="s">
        <v>40</v>
      </c>
      <c r="C3" s="8" t="s">
        <v>18</v>
      </c>
      <c r="D3" s="8" t="s">
        <v>41</v>
      </c>
      <c r="E3" s="8" t="s">
        <v>11</v>
      </c>
      <c r="F3" s="8" t="s">
        <v>42</v>
      </c>
    </row>
    <row r="4" spans="1:6" ht="19.5" customHeight="1" x14ac:dyDescent="0.25">
      <c r="A4" s="21" t="s">
        <v>13</v>
      </c>
      <c r="B4" s="22">
        <f>COUNTA('Registro KRI Moviles'!A6:A10)-COUNTIF('Registro KRI Moviles'!A6:A10,"")</f>
        <v>-1</v>
      </c>
      <c r="C4" s="23">
        <f>COUNTIF('Registro KRI Moviles'!F6:F10,"Pendiente")</f>
        <v>5</v>
      </c>
      <c r="D4" s="24">
        <f>COUNTIF('Registro KRI Moviles'!F6:F10,"En revisión")</f>
        <v>0</v>
      </c>
      <c r="E4" s="25">
        <f>COUNTIF('Registro KRI Moviles'!F6:F10,"Acción ejecutada")</f>
        <v>0</v>
      </c>
      <c r="F4" s="26">
        <f>COUNTIF('Registro KRI Moviles'!F6:F10,"Cerrado")</f>
        <v>0</v>
      </c>
    </row>
    <row r="5" spans="1:6" ht="19.5" customHeight="1" x14ac:dyDescent="0.25">
      <c r="A5" s="27" t="s">
        <v>21</v>
      </c>
      <c r="B5" s="28">
        <f>COUNTA('Registro KRI Moviles'!A12:A17)-COUNTIF('Registro KRI Moviles'!A12:A17,"")</f>
        <v>0</v>
      </c>
      <c r="C5" s="29">
        <f>COUNTIF('Registro KRI Moviles'!F12:F17,"Pendiente")</f>
        <v>6</v>
      </c>
      <c r="D5" s="30">
        <f>COUNTIF('Registro KRI Moviles'!F12:F17,"En revisión")</f>
        <v>0</v>
      </c>
      <c r="E5" s="31">
        <f>COUNTIF('Registro KRI Moviles'!F12:F17,"Acción ejecutada")</f>
        <v>0</v>
      </c>
      <c r="F5" s="32">
        <f>COUNTIF('Registro KRI Moviles'!F12:F17,"Cerrado")</f>
        <v>0</v>
      </c>
    </row>
    <row r="6" spans="1:6" ht="19.5" customHeight="1" x14ac:dyDescent="0.25">
      <c r="A6" s="33" t="s">
        <v>31</v>
      </c>
      <c r="B6" s="22">
        <f>COUNTA('Registro KRI Moviles'!A19:A23)-COUNTIF('Registro KRI Moviles'!A19:A23,"")</f>
        <v>-1</v>
      </c>
      <c r="C6" s="23">
        <f>COUNTIF('Registro KRI Moviles'!F19:F23,"Pendiente")</f>
        <v>5</v>
      </c>
      <c r="D6" s="24">
        <f>COUNTIF('Registro KRI Moviles'!F19:F23,"En revisión")</f>
        <v>0</v>
      </c>
      <c r="E6" s="25">
        <f>COUNTIF('Registro KRI Moviles'!F19:F23,"Acción ejecutada")</f>
        <v>0</v>
      </c>
      <c r="F6" s="26">
        <f>COUNTIF('Registro KRI Moviles'!F19:F23,"Cerrado")</f>
        <v>0</v>
      </c>
    </row>
    <row r="7" spans="1:6" ht="19.5" customHeight="1" x14ac:dyDescent="0.25">
      <c r="A7" s="34" t="s">
        <v>43</v>
      </c>
      <c r="B7" s="35">
        <f>SUM(B4:B6)</f>
        <v>-2</v>
      </c>
      <c r="C7" s="35">
        <f>SUM(C4:C6)</f>
        <v>16</v>
      </c>
      <c r="D7" s="35">
        <f>SUM(D4:D6)</f>
        <v>0</v>
      </c>
      <c r="E7" s="35">
        <f>SUM(E4:E6)</f>
        <v>0</v>
      </c>
      <c r="F7" s="35">
        <f>SUM(F4:F6)</f>
        <v>0</v>
      </c>
    </row>
    <row r="8" spans="1:6" ht="9.75" customHeight="1" x14ac:dyDescent="0.25"/>
    <row r="9" spans="1:6" ht="19.5" customHeight="1" x14ac:dyDescent="0.25">
      <c r="A9" s="6" t="s">
        <v>44</v>
      </c>
      <c r="B9" s="6"/>
      <c r="C9" s="6"/>
      <c r="D9" s="6"/>
      <c r="E9" s="6"/>
      <c r="F9" s="6"/>
    </row>
    <row r="10" spans="1:6" ht="21.75" customHeight="1" x14ac:dyDescent="0.25">
      <c r="A10" s="8" t="s">
        <v>45</v>
      </c>
      <c r="B10" s="8" t="s">
        <v>46</v>
      </c>
      <c r="C10" s="8" t="s">
        <v>5</v>
      </c>
      <c r="D10" s="8" t="s">
        <v>6</v>
      </c>
      <c r="E10" s="8" t="s">
        <v>47</v>
      </c>
      <c r="F10" s="8" t="s">
        <v>48</v>
      </c>
    </row>
    <row r="11" spans="1:6" ht="21.75" customHeight="1" x14ac:dyDescent="0.25">
      <c r="A11" s="36" t="s">
        <v>22</v>
      </c>
      <c r="B11" s="37" t="s">
        <v>23</v>
      </c>
      <c r="C11" s="38" t="s">
        <v>49</v>
      </c>
      <c r="D11" s="38" t="s">
        <v>25</v>
      </c>
      <c r="E11" s="19" t="str">
        <f>IFERROR(INDEX('Registro KRI Moviles'!F:F,MATCH("KRI-MOV-01",'Registro KRI Moviles'!A:A,0)),"Sin registro")</f>
        <v>Pendiente</v>
      </c>
      <c r="F11" s="39">
        <f>IFERROR(INDEX('Registro KRI Moviles'!G:G,MATCH("KRI-MOV-01",'Registro KRI Moviles'!A:A,0)),"—")</f>
        <v>0</v>
      </c>
    </row>
    <row r="12" spans="1:6" ht="21.75" customHeight="1" x14ac:dyDescent="0.25">
      <c r="A12" s="40" t="s">
        <v>26</v>
      </c>
      <c r="B12" s="41" t="s">
        <v>50</v>
      </c>
      <c r="C12" s="42" t="s">
        <v>51</v>
      </c>
      <c r="D12" s="42" t="s">
        <v>25</v>
      </c>
      <c r="E12" s="16" t="str">
        <f>IFERROR(INDEX('Registro KRI Moviles'!F:F,MATCH("KRI-MOV-02",'Registro KRI Moviles'!A:A,0)),"Sin registro")</f>
        <v>Pendiente</v>
      </c>
      <c r="F12" s="43">
        <f>IFERROR(INDEX('Registro KRI Moviles'!G:G,MATCH("KRI-MOV-02",'Registro KRI Moviles'!A:A,0)),"—")</f>
        <v>0</v>
      </c>
    </row>
    <row r="13" spans="1:6" ht="21.75" customHeight="1" x14ac:dyDescent="0.25">
      <c r="A13" s="36" t="s">
        <v>14</v>
      </c>
      <c r="B13" s="37" t="s">
        <v>15</v>
      </c>
      <c r="C13" s="38" t="s">
        <v>52</v>
      </c>
      <c r="D13" s="38" t="s">
        <v>17</v>
      </c>
      <c r="E13" s="19" t="str">
        <f>IFERROR(INDEX('Registro KRI Moviles'!F:F,MATCH("KRI-MOV-03",'Registro KRI Moviles'!A:A,0)),"Sin registro")</f>
        <v>Pendiente</v>
      </c>
      <c r="F13" s="39">
        <f>IFERROR(INDEX('Registro KRI Moviles'!G:G,MATCH("KRI-MOV-03",'Registro KRI Moviles'!A:A,0)),"—")</f>
        <v>0</v>
      </c>
    </row>
    <row r="14" spans="1:6" ht="21.75" customHeight="1" x14ac:dyDescent="0.25">
      <c r="A14" s="40" t="s">
        <v>29</v>
      </c>
      <c r="B14" s="41" t="s">
        <v>53</v>
      </c>
      <c r="C14" s="42" t="s">
        <v>52</v>
      </c>
      <c r="D14" s="42" t="s">
        <v>25</v>
      </c>
      <c r="E14" s="16" t="str">
        <f>IFERROR(INDEX('Registro KRI Moviles'!F:F,MATCH("KRI-MOV-04",'Registro KRI Moviles'!A:A,0)),"Sin registro")</f>
        <v>Pendiente</v>
      </c>
      <c r="F14" s="43">
        <f>IFERROR(INDEX('Registro KRI Moviles'!G:G,MATCH("KRI-MOV-04",'Registro KRI Moviles'!A:A,0)),"—")</f>
        <v>0</v>
      </c>
    </row>
    <row r="15" spans="1:6" ht="21.75" customHeight="1" x14ac:dyDescent="0.25">
      <c r="A15" s="36" t="s">
        <v>19</v>
      </c>
      <c r="B15" s="37" t="s">
        <v>54</v>
      </c>
      <c r="C15" s="38" t="s">
        <v>52</v>
      </c>
      <c r="D15" s="38" t="s">
        <v>17</v>
      </c>
      <c r="E15" s="19" t="str">
        <f>IFERROR(INDEX('Registro KRI Moviles'!F:F,MATCH("KRI-MOV-05",'Registro KRI Moviles'!A:A,0)),"Sin registro")</f>
        <v>Pendiente</v>
      </c>
      <c r="F15" s="39">
        <f>IFERROR(INDEX('Registro KRI Moviles'!G:G,MATCH("KRI-MOV-05",'Registro KRI Moviles'!A:A,0)),"—")</f>
        <v>0</v>
      </c>
    </row>
    <row r="16" spans="1:6" ht="21.75" customHeight="1" x14ac:dyDescent="0.25">
      <c r="A16" s="40" t="s">
        <v>32</v>
      </c>
      <c r="B16" s="41" t="s">
        <v>33</v>
      </c>
      <c r="C16" s="42" t="s">
        <v>52</v>
      </c>
      <c r="D16" s="42" t="s">
        <v>34</v>
      </c>
      <c r="E16" s="16" t="str">
        <f>IFERROR(INDEX('Registro KRI Moviles'!F:F,MATCH("KRI-MOV-06",'Registro KRI Moviles'!A:A,0)),"Sin registro")</f>
        <v>Pendiente</v>
      </c>
      <c r="F16" s="43">
        <f>IFERROR(INDEX('Registro KRI Moviles'!G:G,MATCH("KRI-MOV-06",'Registro KRI Moviles'!A:A,0)),"—")</f>
        <v>0</v>
      </c>
    </row>
    <row r="17" spans="1:6" ht="21.75" customHeight="1" x14ac:dyDescent="0.25">
      <c r="A17" s="36" t="s">
        <v>35</v>
      </c>
      <c r="B17" s="37" t="s">
        <v>55</v>
      </c>
      <c r="C17" s="38" t="s">
        <v>52</v>
      </c>
      <c r="D17" s="38" t="s">
        <v>34</v>
      </c>
      <c r="E17" s="19" t="str">
        <f>IFERROR(INDEX('Registro KRI Moviles'!F:F,MATCH("KRI-MOV-07",'Registro KRI Moviles'!A:A,0)),"Sin registro")</f>
        <v>Pendiente</v>
      </c>
      <c r="F17" s="39">
        <f>IFERROR(INDEX('Registro KRI Moviles'!G:G,MATCH("KRI-MOV-07",'Registro KRI Moviles'!A:A,0)),"—")</f>
        <v>0</v>
      </c>
    </row>
    <row r="19" spans="1:6" x14ac:dyDescent="0.25">
      <c r="A19" s="1" t="s">
        <v>37</v>
      </c>
      <c r="B19" s="1"/>
      <c r="C19" s="1"/>
      <c r="D19" s="1"/>
      <c r="E19" s="1"/>
      <c r="F19" s="1"/>
    </row>
  </sheetData>
  <mergeCells count="4">
    <mergeCell ref="A1:F1"/>
    <mergeCell ref="A2:F2"/>
    <mergeCell ref="A9:F9"/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KRI Moviles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2026-07-01T17:03:11Z</dcterms:created>
  <dcterms:modified xsi:type="dcterms:W3CDTF">2026-07-01T17:09:12Z</dcterms:modified>
  <dc:language>en-US</dc:language>
</cp:coreProperties>
</file>