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openitsoft-my.sharepoint.com/personal/mvergara_openitnet_com/Documents/Desktop/"/>
    </mc:Choice>
  </mc:AlternateContent>
  <xr:revisionPtr revIDLastSave="1" documentId="11_77E295781388992DFB0DD4FB26FC13D1BED1EE7F" xr6:coauthVersionLast="47" xr6:coauthVersionMax="47" xr10:uidLastSave="{8587E750-64DD-419A-8ECA-5602B0DF10FA}"/>
  <bookViews>
    <workbookView xWindow="31860" yWindow="960" windowWidth="23610" windowHeight="12915" tabRatio="500" xr2:uid="{00000000-000D-0000-FFFF-FFFF00000000}"/>
  </bookViews>
  <sheets>
    <sheet name="Checklist" sheetId="1" r:id="rId1"/>
    <sheet name="Dashboard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9" i="2" l="1"/>
  <c r="F8" i="2"/>
  <c r="E8" i="2"/>
  <c r="D8" i="2"/>
  <c r="C8" i="2"/>
  <c r="F7" i="2"/>
  <c r="E7" i="2"/>
  <c r="D7" i="2"/>
  <c r="C7" i="2"/>
  <c r="F6" i="2"/>
  <c r="E6" i="2"/>
  <c r="D6" i="2"/>
  <c r="C6" i="2"/>
  <c r="F5" i="2"/>
  <c r="E5" i="2"/>
  <c r="D5" i="2"/>
  <c r="C5" i="2"/>
  <c r="F4" i="2"/>
  <c r="F9" i="2" s="1"/>
  <c r="E4" i="2"/>
  <c r="E9" i="2" s="1"/>
  <c r="D4" i="2"/>
  <c r="D9" i="2" s="1"/>
  <c r="C4" i="2"/>
  <c r="C9" i="2" s="1"/>
</calcChain>
</file>

<file path=xl/sharedStrings.xml><?xml version="1.0" encoding="utf-8"?>
<sst xmlns="http://schemas.openxmlformats.org/spreadsheetml/2006/main" count="82" uniqueCount="49">
  <si>
    <t>CIBERPROTECCIÓN PARA PyMES  ·  Capítulo 11 — Websites</t>
  </si>
  <si>
    <t>Mantenimiento Preventivo del Sitio Web</t>
  </si>
  <si>
    <t>Frecuencia</t>
  </si>
  <si>
    <t>N°</t>
  </si>
  <si>
    <t>Tarea de mantenimiento</t>
  </si>
  <si>
    <t>Estado</t>
  </si>
  <si>
    <t>Responsable</t>
  </si>
  <si>
    <t>Fecha de ejecución</t>
  </si>
  <si>
    <t>Observaciones</t>
  </si>
  <si>
    <t>SEMANAL</t>
  </si>
  <si>
    <t>Verificar que los respaldos automáticos del sitio se ejecutaron correctamente y que los archivos están disponibles para restauración.</t>
  </si>
  <si>
    <t>Pendiente</t>
  </si>
  <si>
    <t>Revisar el panel del CMS en busca de actualizaciones pendientes de plugins, temas y núcleo.</t>
  </si>
  <si>
    <t>Confirmar que el certificado SSL está activo y que no presenta alertas de vencimiento próximo.</t>
  </si>
  <si>
    <t>Revisar el registro de actividad del CMS en busca de accesos desde ubicaciones o dispositivos inusuales.</t>
  </si>
  <si>
    <t>Verificar que no existen cuentas de usuario nuevas no autorizadas en el panel de administración.</t>
  </si>
  <si>
    <t>MENSUAL</t>
  </si>
  <si>
    <t>Aplicar todas las actualizaciones de plugins, temas y núcleo del CMS disponibles, previa copia de seguridad completa del sitio.</t>
  </si>
  <si>
    <t>Auditar las cuentas de usuario del CMS: verificar que cada cuenta activa corresponde a un colaborador vigente, con el rol mínimo necesario.</t>
  </si>
  <si>
    <t>Revisar los formularios públicos del sitio y confirmar que los mecanismos anti-bot (CAPTCHA, límite de intentos) están activos y funcionando.</t>
  </si>
  <si>
    <t>Verificar que el archivo xmlrpc.php permanece deshabilitado y que el acceso anónimo a la REST API sigue restringido.</t>
  </si>
  <si>
    <t>Comprobar que las cabeceras de seguridad HTTP definidas en la configuración siguen activas.</t>
  </si>
  <si>
    <t>Revisar el reporte de intentos de acceso bloqueados por el plugin de límite de intentos y verificar que los umbrales configurados son adecuados.</t>
  </si>
  <si>
    <t>Ejecutar un escaneo de integridad de archivos del CMS y verificar que no existen modificaciones no autorizadas.</t>
  </si>
  <si>
    <t>TRIMESTRAL</t>
  </si>
  <si>
    <t>Ejecutar una prueba de restauración desde el respaldo más reciente en un entorno de pruebas, verificando que el sitio queda completamente funcional.</t>
  </si>
  <si>
    <t>Revisar y depurar plugins inactivos o sin soporte activo del desarrollador; desinstalar los que no estén en uso.</t>
  </si>
  <si>
    <t>Auditar los permisos del sistema de archivos del servidor web y verificar que no existen archivos con permisos de escritura excesivos.</t>
  </si>
  <si>
    <t>Revisar la configuración del WAF y actualizar las reglas si el proveedor ha publicado nuevas definiciones.</t>
  </si>
  <si>
    <t>Verificar el estado del registro CAA del dominio y que la CA autorizada es la correcta.</t>
  </si>
  <si>
    <t>Revisar y actualizar las credenciales de acceso al panel de hosting, al registrador y al proveedor CDN.</t>
  </si>
  <si>
    <t>SEMESTRAL</t>
  </si>
  <si>
    <t>Ejecutar un escaneo externo de vulnerabilidades sobre el sitio y comparar los hallazgos contra la línea base del semestre anterior.</t>
  </si>
  <si>
    <t>Revisar que los procedimientos de recuperación del sitio almacenados en la base de conocimientos están actualizados y han sido probados al menos una vez en el semestre.</t>
  </si>
  <si>
    <t>Revisar y recalibrar los KRI del sitio web comparando los umbrales definidos contra la actividad real registrada, ajustando los que generen excesivos falsos positivos o negativos.</t>
  </si>
  <si>
    <t>ANUAL</t>
  </si>
  <si>
    <t>Realizar una auditoría completa de la configuración del CMS contra la política de gestión del sitio web vigente.</t>
  </si>
  <si>
    <t>Evaluar si los plugins y el tema activo cuentan con soporte vigente del desarrollador para el año siguiente; planificar la migración de aquellos que hayan llegado al fin de vida.</t>
  </si>
  <si>
    <t>Ejecutar un simulacro de recuperación ante la pérdida total del sitio, incluyendo la restauración completa desde cero en un servidor limpio.</t>
  </si>
  <si>
    <t>Revisar y actualizar la política de gestión del sitio web.</t>
  </si>
  <si>
    <t>Actualizar el DRP del dominio con los cambios de infraestructura ocurridos durante el año.</t>
  </si>
  <si>
    <t>TOTAL TAREAS</t>
  </si>
  <si>
    <t>Dashboard — Estado del Mantenimiento Preventivo</t>
  </si>
  <si>
    <t>Total tareas</t>
  </si>
  <si>
    <t>En progreso</t>
  </si>
  <si>
    <t>Completada</t>
  </si>
  <si>
    <t>No aplica</t>
  </si>
  <si>
    <t>TOTAL GENERAL</t>
  </si>
  <si>
    <t>Nota: cambie el estado de cada tarea en la hoja Checklist. Este dashboard se actualiza automáticamente.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</si>
</sst>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3"/>
      <color rgb="FFFFFFFF"/>
      <name val="Calibri"/>
      <charset val="1"/>
    </font>
    <font>
      <b/>
      <sz val="11"/>
      <color rgb="FFFFFFFF"/>
      <name val="Calibri"/>
      <charset val="1"/>
    </font>
    <font>
      <b/>
      <sz val="10"/>
      <color rgb="FFFFFFFF"/>
      <name val="Calibri"/>
      <charset val="1"/>
    </font>
    <font>
      <b/>
      <sz val="9"/>
      <color rgb="FFFFFFFF"/>
      <name val="Calibri"/>
      <charset val="1"/>
    </font>
    <font>
      <sz val="9"/>
      <color rgb="FF555555"/>
      <name val="Calibri"/>
      <charset val="1"/>
    </font>
    <font>
      <sz val="10"/>
      <color rgb="FF000000"/>
      <name val="Calibri"/>
      <charset val="1"/>
    </font>
    <font>
      <b/>
      <sz val="10"/>
      <color rgb="FF000000"/>
      <name val="Calibri"/>
      <charset val="1"/>
    </font>
    <font>
      <sz val="10"/>
      <color rgb="FF3B6D11"/>
      <name val="Calibri"/>
      <charset val="1"/>
    </font>
    <font>
      <sz val="10"/>
      <color rgb="FF777777"/>
      <name val="Calibri"/>
      <charset val="1"/>
    </font>
    <font>
      <sz val="9"/>
      <color rgb="FF777777"/>
      <name val="Calibri"/>
      <charset val="1"/>
    </font>
  </fonts>
  <fills count="12">
    <fill>
      <patternFill patternType="none"/>
    </fill>
    <fill>
      <patternFill patternType="gray125"/>
    </fill>
    <fill>
      <patternFill patternType="solid">
        <fgColor rgb="FF0F3F6E"/>
        <bgColor rgb="FF333399"/>
      </patternFill>
    </fill>
    <fill>
      <patternFill patternType="solid">
        <fgColor rgb="FF185FA5"/>
        <bgColor rgb="FF2E6DA4"/>
      </patternFill>
    </fill>
    <fill>
      <patternFill patternType="solid">
        <fgColor rgb="FF2E6DA4"/>
        <bgColor rgb="FF185FA5"/>
      </patternFill>
    </fill>
    <fill>
      <patternFill patternType="solid">
        <fgColor rgb="FFFFFFFF"/>
        <bgColor rgb="FFF5F5F2"/>
      </patternFill>
    </fill>
    <fill>
      <patternFill patternType="solid">
        <fgColor rgb="FFF5F5F2"/>
        <bgColor rgb="FFFFFFFF"/>
      </patternFill>
    </fill>
    <fill>
      <patternFill patternType="solid">
        <fgColor rgb="FFBA7517"/>
        <bgColor rgb="FFFF6600"/>
      </patternFill>
    </fill>
    <fill>
      <patternFill patternType="solid">
        <fgColor rgb="FF3B6D11"/>
        <bgColor rgb="FF555555"/>
      </patternFill>
    </fill>
    <fill>
      <patternFill patternType="solid">
        <fgColor rgb="FF5F5E5A"/>
        <bgColor rgb="FF555555"/>
      </patternFill>
    </fill>
    <fill>
      <patternFill patternType="solid">
        <fgColor rgb="FFA32D2D"/>
        <bgColor rgb="FF993366"/>
      </patternFill>
    </fill>
    <fill>
      <patternFill patternType="solid">
        <fgColor rgb="FFB5D4F4"/>
        <bgColor rgb="FF99CCFF"/>
      </patternFill>
    </fill>
  </fills>
  <borders count="3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/>
      <top style="thin">
        <color rgb="FFD3D1C7"/>
      </top>
      <bottom style="thin">
        <color rgb="FFD3D1C7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0" fillId="0" borderId="0" xfId="0" applyFont="1" applyAlignment="1">
      <alignment horizontal="left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0" fillId="11" borderId="1" xfId="0" applyFill="1" applyBorder="1"/>
    <xf numFmtId="0" fontId="3" fillId="4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B6D11"/>
      <rgbColor rgb="FF000080"/>
      <rgbColor rgb="FFBA7517"/>
      <rgbColor rgb="FF800080"/>
      <rgbColor rgb="FF008080"/>
      <rgbColor rgb="FFD3D1C7"/>
      <rgbColor rgb="FF777777"/>
      <rgbColor rgb="FF9999FF"/>
      <rgbColor rgb="FF993366"/>
      <rgbColor rgb="FFF5F5F2"/>
      <rgbColor rgb="FFCCFFFF"/>
      <rgbColor rgb="FF660066"/>
      <rgbColor rgb="FFFF8080"/>
      <rgbColor rgb="FF185FA5"/>
      <rgbColor rgb="FFB5D4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6DA4"/>
      <rgbColor rgb="FF33CCCC"/>
      <rgbColor rgb="FF99CC00"/>
      <rgbColor rgb="FFFFCC00"/>
      <rgbColor rgb="FFFF9900"/>
      <rgbColor rgb="FFFF6600"/>
      <rgbColor rgb="FF5F5E5A"/>
      <rgbColor rgb="FF969696"/>
      <rgbColor rgb="FF0F3F6E"/>
      <rgbColor rgb="FF339966"/>
      <rgbColor rgb="FF003300"/>
      <rgbColor rgb="FF333300"/>
      <rgbColor rgb="FFA32D2D"/>
      <rgbColor rgb="FF993366"/>
      <rgbColor rgb="FF333399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topLeftCell="A17" zoomScaleNormal="100" workbookViewId="0">
      <selection activeCell="D26" sqref="D26"/>
    </sheetView>
  </sheetViews>
  <sheetFormatPr baseColWidth="10" defaultColWidth="8.7109375" defaultRowHeight="15" x14ac:dyDescent="0.25"/>
  <cols>
    <col min="1" max="1" width="14" customWidth="1"/>
    <col min="2" max="2" width="4" customWidth="1"/>
    <col min="3" max="3" width="72" customWidth="1"/>
    <col min="4" max="4" width="18" customWidth="1"/>
    <col min="5" max="5" width="20" customWidth="1"/>
    <col min="6" max="6" width="14" customWidth="1"/>
    <col min="7" max="7" width="36" customWidth="1"/>
  </cols>
  <sheetData>
    <row r="1" spans="1:7" ht="27.75" customHeight="1" x14ac:dyDescent="0.25">
      <c r="A1" s="9" t="s">
        <v>0</v>
      </c>
      <c r="B1" s="9"/>
      <c r="C1" s="9"/>
      <c r="D1" s="9"/>
      <c r="E1" s="9"/>
      <c r="F1" s="9"/>
      <c r="G1" s="9"/>
    </row>
    <row r="2" spans="1:7" ht="21.75" customHeight="1" x14ac:dyDescent="0.25">
      <c r="A2" s="8" t="s">
        <v>1</v>
      </c>
      <c r="B2" s="8"/>
      <c r="C2" s="8"/>
      <c r="D2" s="8"/>
      <c r="E2" s="8"/>
      <c r="F2" s="8"/>
      <c r="G2" s="8"/>
    </row>
    <row r="3" spans="1:7" ht="21.75" customHeight="1" x14ac:dyDescent="0.25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</row>
    <row r="4" spans="1:7" ht="27.75" customHeight="1" x14ac:dyDescent="0.25">
      <c r="A4" s="7" t="s">
        <v>9</v>
      </c>
      <c r="B4" s="11">
        <v>1</v>
      </c>
      <c r="C4" s="12" t="s">
        <v>10</v>
      </c>
      <c r="D4" s="13" t="s">
        <v>11</v>
      </c>
      <c r="E4" s="12"/>
      <c r="F4" s="13"/>
      <c r="G4" s="12"/>
    </row>
    <row r="5" spans="1:7" ht="27.75" customHeight="1" x14ac:dyDescent="0.25">
      <c r="A5" s="7"/>
      <c r="B5" s="14">
        <v>2</v>
      </c>
      <c r="C5" s="15" t="s">
        <v>12</v>
      </c>
      <c r="D5" s="16" t="s">
        <v>11</v>
      </c>
      <c r="E5" s="15"/>
      <c r="F5" s="16"/>
      <c r="G5" s="15"/>
    </row>
    <row r="6" spans="1:7" ht="27.75" customHeight="1" x14ac:dyDescent="0.25">
      <c r="A6" s="7"/>
      <c r="B6" s="11">
        <v>3</v>
      </c>
      <c r="C6" s="12" t="s">
        <v>13</v>
      </c>
      <c r="D6" s="13" t="s">
        <v>11</v>
      </c>
      <c r="E6" s="12"/>
      <c r="F6" s="13"/>
      <c r="G6" s="12"/>
    </row>
    <row r="7" spans="1:7" ht="27.75" customHeight="1" x14ac:dyDescent="0.25">
      <c r="A7" s="7"/>
      <c r="B7" s="14">
        <v>4</v>
      </c>
      <c r="C7" s="15" t="s">
        <v>14</v>
      </c>
      <c r="D7" s="16" t="s">
        <v>11</v>
      </c>
      <c r="E7" s="15"/>
      <c r="F7" s="16"/>
      <c r="G7" s="15"/>
    </row>
    <row r="8" spans="1:7" ht="27.75" customHeight="1" x14ac:dyDescent="0.25">
      <c r="A8" s="7"/>
      <c r="B8" s="11">
        <v>5</v>
      </c>
      <c r="C8" s="12" t="s">
        <v>15</v>
      </c>
      <c r="D8" s="13" t="s">
        <v>11</v>
      </c>
      <c r="E8" s="12"/>
      <c r="F8" s="13"/>
      <c r="G8" s="12"/>
    </row>
    <row r="9" spans="1:7" ht="27.75" customHeight="1" x14ac:dyDescent="0.25">
      <c r="A9" s="6" t="s">
        <v>16</v>
      </c>
      <c r="B9" s="11">
        <v>1</v>
      </c>
      <c r="C9" s="12" t="s">
        <v>17</v>
      </c>
      <c r="D9" s="13" t="s">
        <v>11</v>
      </c>
      <c r="E9" s="12"/>
      <c r="F9" s="13"/>
      <c r="G9" s="12"/>
    </row>
    <row r="10" spans="1:7" ht="27.75" customHeight="1" x14ac:dyDescent="0.25">
      <c r="A10" s="6"/>
      <c r="B10" s="14">
        <v>2</v>
      </c>
      <c r="C10" s="15" t="s">
        <v>18</v>
      </c>
      <c r="D10" s="16" t="s">
        <v>11</v>
      </c>
      <c r="E10" s="15"/>
      <c r="F10" s="16"/>
      <c r="G10" s="15"/>
    </row>
    <row r="11" spans="1:7" ht="27.75" customHeight="1" x14ac:dyDescent="0.25">
      <c r="A11" s="6"/>
      <c r="B11" s="11">
        <v>3</v>
      </c>
      <c r="C11" s="12" t="s">
        <v>19</v>
      </c>
      <c r="D11" s="13" t="s">
        <v>11</v>
      </c>
      <c r="E11" s="12"/>
      <c r="F11" s="13"/>
      <c r="G11" s="12"/>
    </row>
    <row r="12" spans="1:7" ht="27.75" customHeight="1" x14ac:dyDescent="0.25">
      <c r="A12" s="6"/>
      <c r="B12" s="14">
        <v>4</v>
      </c>
      <c r="C12" s="15" t="s">
        <v>20</v>
      </c>
      <c r="D12" s="16" t="s">
        <v>11</v>
      </c>
      <c r="E12" s="15"/>
      <c r="F12" s="16"/>
      <c r="G12" s="15"/>
    </row>
    <row r="13" spans="1:7" ht="27.75" customHeight="1" x14ac:dyDescent="0.25">
      <c r="A13" s="6"/>
      <c r="B13" s="11">
        <v>5</v>
      </c>
      <c r="C13" s="12" t="s">
        <v>21</v>
      </c>
      <c r="D13" s="13" t="s">
        <v>11</v>
      </c>
      <c r="E13" s="12"/>
      <c r="F13" s="13"/>
      <c r="G13" s="12"/>
    </row>
    <row r="14" spans="1:7" ht="27.75" customHeight="1" x14ac:dyDescent="0.25">
      <c r="A14" s="6"/>
      <c r="B14" s="14">
        <v>6</v>
      </c>
      <c r="C14" s="15" t="s">
        <v>22</v>
      </c>
      <c r="D14" s="16" t="s">
        <v>11</v>
      </c>
      <c r="E14" s="15"/>
      <c r="F14" s="16"/>
      <c r="G14" s="15"/>
    </row>
    <row r="15" spans="1:7" ht="27.75" customHeight="1" x14ac:dyDescent="0.25">
      <c r="A15" s="6"/>
      <c r="B15" s="11">
        <v>7</v>
      </c>
      <c r="C15" s="12" t="s">
        <v>23</v>
      </c>
      <c r="D15" s="13" t="s">
        <v>11</v>
      </c>
      <c r="E15" s="12"/>
      <c r="F15" s="13"/>
      <c r="G15" s="12"/>
    </row>
    <row r="16" spans="1:7" ht="27.75" customHeight="1" x14ac:dyDescent="0.25">
      <c r="A16" s="5" t="s">
        <v>24</v>
      </c>
      <c r="B16" s="11">
        <v>1</v>
      </c>
      <c r="C16" s="12" t="s">
        <v>25</v>
      </c>
      <c r="D16" s="13" t="s">
        <v>11</v>
      </c>
      <c r="E16" s="12"/>
      <c r="F16" s="13"/>
      <c r="G16" s="12"/>
    </row>
    <row r="17" spans="1:7" ht="27.75" customHeight="1" x14ac:dyDescent="0.25">
      <c r="A17" s="5"/>
      <c r="B17" s="14">
        <v>2</v>
      </c>
      <c r="C17" s="15" t="s">
        <v>26</v>
      </c>
      <c r="D17" s="16" t="s">
        <v>11</v>
      </c>
      <c r="E17" s="15"/>
      <c r="F17" s="16"/>
      <c r="G17" s="15"/>
    </row>
    <row r="18" spans="1:7" ht="27.75" customHeight="1" x14ac:dyDescent="0.25">
      <c r="A18" s="5"/>
      <c r="B18" s="11">
        <v>3</v>
      </c>
      <c r="C18" s="12" t="s">
        <v>27</v>
      </c>
      <c r="D18" s="13" t="s">
        <v>11</v>
      </c>
      <c r="E18" s="12"/>
      <c r="F18" s="13"/>
      <c r="G18" s="12"/>
    </row>
    <row r="19" spans="1:7" ht="27.75" customHeight="1" x14ac:dyDescent="0.25">
      <c r="A19" s="5"/>
      <c r="B19" s="14">
        <v>4</v>
      </c>
      <c r="C19" s="15" t="s">
        <v>28</v>
      </c>
      <c r="D19" s="16" t="s">
        <v>11</v>
      </c>
      <c r="E19" s="15"/>
      <c r="F19" s="16"/>
      <c r="G19" s="15"/>
    </row>
    <row r="20" spans="1:7" ht="27.75" customHeight="1" x14ac:dyDescent="0.25">
      <c r="A20" s="5"/>
      <c r="B20" s="11">
        <v>5</v>
      </c>
      <c r="C20" s="12" t="s">
        <v>29</v>
      </c>
      <c r="D20" s="13" t="s">
        <v>11</v>
      </c>
      <c r="E20" s="12"/>
      <c r="F20" s="13"/>
      <c r="G20" s="12"/>
    </row>
    <row r="21" spans="1:7" ht="27.75" customHeight="1" x14ac:dyDescent="0.25">
      <c r="A21" s="5"/>
      <c r="B21" s="14">
        <v>6</v>
      </c>
      <c r="C21" s="15" t="s">
        <v>30</v>
      </c>
      <c r="D21" s="16" t="s">
        <v>11</v>
      </c>
      <c r="E21" s="15"/>
      <c r="F21" s="16"/>
      <c r="G21" s="15"/>
    </row>
    <row r="22" spans="1:7" ht="27.75" customHeight="1" x14ac:dyDescent="0.25">
      <c r="A22" s="4" t="s">
        <v>31</v>
      </c>
      <c r="B22" s="11">
        <v>1</v>
      </c>
      <c r="C22" s="12" t="s">
        <v>32</v>
      </c>
      <c r="D22" s="13" t="s">
        <v>11</v>
      </c>
      <c r="E22" s="12"/>
      <c r="F22" s="13"/>
      <c r="G22" s="12"/>
    </row>
    <row r="23" spans="1:7" ht="27.75" customHeight="1" x14ac:dyDescent="0.25">
      <c r="A23" s="4"/>
      <c r="B23" s="14">
        <v>2</v>
      </c>
      <c r="C23" s="15" t="s">
        <v>33</v>
      </c>
      <c r="D23" s="16" t="s">
        <v>11</v>
      </c>
      <c r="E23" s="15"/>
      <c r="F23" s="16"/>
      <c r="G23" s="15"/>
    </row>
    <row r="24" spans="1:7" ht="27.75" customHeight="1" x14ac:dyDescent="0.25">
      <c r="A24" s="4"/>
      <c r="B24" s="11">
        <v>3</v>
      </c>
      <c r="C24" s="12" t="s">
        <v>34</v>
      </c>
      <c r="D24" s="13" t="s">
        <v>11</v>
      </c>
      <c r="E24" s="12"/>
      <c r="F24" s="13"/>
      <c r="G24" s="12"/>
    </row>
    <row r="25" spans="1:7" ht="27.75" customHeight="1" x14ac:dyDescent="0.25">
      <c r="A25" s="3" t="s">
        <v>35</v>
      </c>
      <c r="B25" s="11">
        <v>1</v>
      </c>
      <c r="C25" s="12" t="s">
        <v>36</v>
      </c>
      <c r="D25" s="13" t="s">
        <v>11</v>
      </c>
      <c r="E25" s="12"/>
      <c r="F25" s="13"/>
      <c r="G25" s="12"/>
    </row>
    <row r="26" spans="1:7" ht="27.75" customHeight="1" x14ac:dyDescent="0.25">
      <c r="A26" s="3"/>
      <c r="B26" s="14">
        <v>2</v>
      </c>
      <c r="C26" s="15" t="s">
        <v>37</v>
      </c>
      <c r="D26" s="16" t="s">
        <v>11</v>
      </c>
      <c r="E26" s="15"/>
      <c r="F26" s="16"/>
      <c r="G26" s="15"/>
    </row>
    <row r="27" spans="1:7" ht="27.75" customHeight="1" x14ac:dyDescent="0.25">
      <c r="A27" s="3"/>
      <c r="B27" s="11">
        <v>3</v>
      </c>
      <c r="C27" s="12" t="s">
        <v>38</v>
      </c>
      <c r="D27" s="13" t="s">
        <v>11</v>
      </c>
      <c r="E27" s="12"/>
      <c r="F27" s="13"/>
      <c r="G27" s="12"/>
    </row>
    <row r="28" spans="1:7" ht="27.75" customHeight="1" x14ac:dyDescent="0.25">
      <c r="A28" s="3"/>
      <c r="B28" s="14">
        <v>4</v>
      </c>
      <c r="C28" s="15" t="s">
        <v>39</v>
      </c>
      <c r="D28" s="16" t="s">
        <v>11</v>
      </c>
      <c r="E28" s="15"/>
      <c r="F28" s="16"/>
      <c r="G28" s="15"/>
    </row>
    <row r="29" spans="1:7" ht="27.75" customHeight="1" x14ac:dyDescent="0.25">
      <c r="A29" s="3"/>
      <c r="B29" s="11">
        <v>5</v>
      </c>
      <c r="C29" s="12" t="s">
        <v>40</v>
      </c>
      <c r="D29" s="13" t="s">
        <v>11</v>
      </c>
      <c r="E29" s="12"/>
      <c r="F29" s="13"/>
      <c r="G29" s="12"/>
    </row>
    <row r="30" spans="1:7" ht="27.75" customHeight="1" x14ac:dyDescent="0.25">
      <c r="A30" s="2" t="s">
        <v>41</v>
      </c>
      <c r="B30" s="2"/>
      <c r="C30" s="17">
        <v>26</v>
      </c>
      <c r="D30" s="18"/>
      <c r="E30" s="18"/>
      <c r="F30" s="18"/>
      <c r="G30" s="18"/>
    </row>
  </sheetData>
  <mergeCells count="8">
    <mergeCell ref="A22:A24"/>
    <mergeCell ref="A25:A29"/>
    <mergeCell ref="A30:B30"/>
    <mergeCell ref="A1:G1"/>
    <mergeCell ref="A2:G2"/>
    <mergeCell ref="A4:A8"/>
    <mergeCell ref="A9:A15"/>
    <mergeCell ref="A16:A21"/>
  </mergeCells>
  <dataValidations count="1">
    <dataValidation type="list" sqref="D4:D29" xr:uid="{00000000-0002-0000-0000-000000000000}">
      <formula1>"Pendiente,En progreso,Completada,No aplica"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zoomScaleNormal="100" workbookViewId="0">
      <selection sqref="A1:F1"/>
    </sheetView>
  </sheetViews>
  <sheetFormatPr baseColWidth="10" defaultColWidth="8.7109375" defaultRowHeight="15" x14ac:dyDescent="0.25"/>
  <cols>
    <col min="1" max="1" width="16" customWidth="1"/>
    <col min="2" max="6" width="14" customWidth="1"/>
  </cols>
  <sheetData>
    <row r="1" spans="1:6" ht="27.75" customHeight="1" x14ac:dyDescent="0.25">
      <c r="A1" s="9" t="s">
        <v>0</v>
      </c>
      <c r="B1" s="9"/>
      <c r="C1" s="9"/>
      <c r="D1" s="9"/>
      <c r="E1" s="9"/>
      <c r="F1" s="9"/>
    </row>
    <row r="2" spans="1:6" ht="21.75" customHeight="1" x14ac:dyDescent="0.25">
      <c r="A2" s="8" t="s">
        <v>42</v>
      </c>
      <c r="B2" s="8"/>
      <c r="C2" s="8"/>
      <c r="D2" s="8"/>
      <c r="E2" s="8"/>
      <c r="F2" s="8"/>
    </row>
    <row r="3" spans="1:6" ht="21.75" customHeight="1" x14ac:dyDescent="0.25">
      <c r="A3" s="10" t="s">
        <v>2</v>
      </c>
      <c r="B3" s="10" t="s">
        <v>43</v>
      </c>
      <c r="C3" s="10" t="s">
        <v>11</v>
      </c>
      <c r="D3" s="10" t="s">
        <v>44</v>
      </c>
      <c r="E3" s="10" t="s">
        <v>45</v>
      </c>
      <c r="F3" s="10" t="s">
        <v>46</v>
      </c>
    </row>
    <row r="4" spans="1:6" ht="27.75" customHeight="1" x14ac:dyDescent="0.25">
      <c r="A4" s="19" t="s">
        <v>9</v>
      </c>
      <c r="B4" s="20">
        <v>5</v>
      </c>
      <c r="C4" s="16">
        <f>COUNTIF(Checklist!D4:D8,"Pendiente")</f>
        <v>5</v>
      </c>
      <c r="D4" s="16">
        <f>COUNTIF(Checklist!D4:D8,"En progreso")</f>
        <v>0</v>
      </c>
      <c r="E4" s="21">
        <f>COUNTIF(Checklist!D4:D8,"Completada")</f>
        <v>0</v>
      </c>
      <c r="F4" s="22">
        <f>COUNTIF(Checklist!D4:D8,"No aplica")</f>
        <v>0</v>
      </c>
    </row>
    <row r="5" spans="1:6" ht="27.75" customHeight="1" x14ac:dyDescent="0.25">
      <c r="A5" s="23" t="s">
        <v>16</v>
      </c>
      <c r="B5" s="24">
        <v>7</v>
      </c>
      <c r="C5" s="13">
        <f>COUNTIF(Checklist!D9:D15,"Pendiente")</f>
        <v>7</v>
      </c>
      <c r="D5" s="13">
        <f>COUNTIF(Checklist!D9:D15,"En progreso")</f>
        <v>0</v>
      </c>
      <c r="E5" s="25">
        <f>COUNTIF(Checklist!D9:D15,"Completada")</f>
        <v>0</v>
      </c>
      <c r="F5" s="26">
        <f>COUNTIF(Checklist!D9:D15,"No aplica")</f>
        <v>0</v>
      </c>
    </row>
    <row r="6" spans="1:6" ht="27.75" customHeight="1" x14ac:dyDescent="0.25">
      <c r="A6" s="27" t="s">
        <v>24</v>
      </c>
      <c r="B6" s="20">
        <v>6</v>
      </c>
      <c r="C6" s="16">
        <f>COUNTIF(Checklist!D16:D21,"Pendiente")</f>
        <v>6</v>
      </c>
      <c r="D6" s="16">
        <f>COUNTIF(Checklist!D16:D21,"En progreso")</f>
        <v>0</v>
      </c>
      <c r="E6" s="21">
        <f>COUNTIF(Checklist!D16:D21,"Completada")</f>
        <v>0</v>
      </c>
      <c r="F6" s="22">
        <f>COUNTIF(Checklist!D16:D21,"No aplica")</f>
        <v>0</v>
      </c>
    </row>
    <row r="7" spans="1:6" ht="27.75" customHeight="1" x14ac:dyDescent="0.25">
      <c r="A7" s="28" t="s">
        <v>31</v>
      </c>
      <c r="B7" s="24">
        <v>3</v>
      </c>
      <c r="C7" s="13">
        <f>COUNTIF(Checklist!D22:D24,"Pendiente")</f>
        <v>3</v>
      </c>
      <c r="D7" s="13">
        <f>COUNTIF(Checklist!D22:D24,"En progreso")</f>
        <v>0</v>
      </c>
      <c r="E7" s="25">
        <f>COUNTIF(Checklist!D22:D24,"Completada")</f>
        <v>0</v>
      </c>
      <c r="F7" s="26">
        <f>COUNTIF(Checklist!D22:D24,"No aplica")</f>
        <v>0</v>
      </c>
    </row>
    <row r="8" spans="1:6" ht="27.75" customHeight="1" x14ac:dyDescent="0.25">
      <c r="A8" s="29" t="s">
        <v>35</v>
      </c>
      <c r="B8" s="20">
        <v>5</v>
      </c>
      <c r="C8" s="16">
        <f>COUNTIF(Checklist!D25:D29,"Pendiente")</f>
        <v>5</v>
      </c>
      <c r="D8" s="16">
        <f>COUNTIF(Checklist!D25:D29,"En progreso")</f>
        <v>0</v>
      </c>
      <c r="E8" s="21">
        <f>COUNTIF(Checklist!D25:D29,"Completada")</f>
        <v>0</v>
      </c>
      <c r="F8" s="22">
        <f>COUNTIF(Checklist!D25:D29,"No aplica")</f>
        <v>0</v>
      </c>
    </row>
    <row r="9" spans="1:6" ht="27.75" customHeight="1" x14ac:dyDescent="0.25">
      <c r="A9" s="30" t="s">
        <v>47</v>
      </c>
      <c r="B9" s="17">
        <f>SUM(B4:B8)</f>
        <v>26</v>
      </c>
      <c r="C9" s="17">
        <f>SUM(C4:C8)</f>
        <v>26</v>
      </c>
      <c r="D9" s="17">
        <f>SUM(D4:D8)</f>
        <v>0</v>
      </c>
      <c r="E9" s="17">
        <f>SUM(E4:E8)</f>
        <v>0</v>
      </c>
      <c r="F9" s="17">
        <f>SUM(F4:F8)</f>
        <v>0</v>
      </c>
    </row>
    <row r="11" spans="1:6" x14ac:dyDescent="0.25">
      <c r="A11" s="1" t="s">
        <v>48</v>
      </c>
      <c r="B11" s="1"/>
      <c r="C11" s="1"/>
      <c r="D11" s="1"/>
      <c r="E11" s="1"/>
      <c r="F11" s="1"/>
    </row>
  </sheetData>
  <mergeCells count="3">
    <mergeCell ref="A1:F1"/>
    <mergeCell ref="A2:F2"/>
    <mergeCell ref="A11:F1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Checklist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mvergara@openitnet.com</dc:creator>
  <dc:description/>
  <cp:lastModifiedBy>Mauricio Vergara</cp:lastModifiedBy>
  <cp:revision>0</cp:revision>
  <dcterms:created xsi:type="dcterms:W3CDTF">2026-06-04T11:06:43Z</dcterms:created>
  <dcterms:modified xsi:type="dcterms:W3CDTF">2026-06-04T16:08:46Z</dcterms:modified>
  <dc:language>en-US</dc:language>
</cp:coreProperties>
</file>