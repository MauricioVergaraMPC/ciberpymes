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1" documentId="11_CFAD158A15558B14F57872500993561B983FE3D0" xr6:coauthVersionLast="47" xr6:coauthVersionMax="47" xr10:uidLastSave="{36794E29-4676-4B9D-AEFC-2E16AD238C67}"/>
  <bookViews>
    <workbookView xWindow="35295" yWindow="1515" windowWidth="21600" windowHeight="13770" activeTab="2" xr2:uid="{00000000-000D-0000-FFFF-FFFF00000000}"/>
  </bookViews>
  <sheets>
    <sheet name="KRI Websites" sheetId="1" r:id="rId1"/>
    <sheet name="Dashboard" sheetId="2" r:id="rId2"/>
    <sheet name="Instructiv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B7" i="2"/>
  <c r="B6" i="2"/>
  <c r="B5" i="2"/>
  <c r="B4" i="2"/>
</calcChain>
</file>

<file path=xl/sharedStrings.xml><?xml version="1.0" encoding="utf-8"?>
<sst xmlns="http://schemas.openxmlformats.org/spreadsheetml/2006/main" count="84" uniqueCount="74">
  <si>
    <t>KRI — Sitios Web (Cap. 11)</t>
  </si>
  <si>
    <t>Indicadores Clave de Riesgo · Ciberprotección para PyMES</t>
  </si>
  <si>
    <t>ID</t>
  </si>
  <si>
    <t>Indicador</t>
  </si>
  <si>
    <t>Descripción / Métrica</t>
  </si>
  <si>
    <t>SLA</t>
  </si>
  <si>
    <t>Frecuencia</t>
  </si>
  <si>
    <t>Valor Actual</t>
  </si>
  <si>
    <t>Estado</t>
  </si>
  <si>
    <t>Fecha Medición</t>
  </si>
  <si>
    <t>Responsable</t>
  </si>
  <si>
    <t>Observaciones</t>
  </si>
  <si>
    <t>KRI-WS-01</t>
  </si>
  <si>
    <t>Uptime</t>
  </si>
  <si>
    <t>Porcentaje de disponibilidad del sitio web en el período medido</t>
  </si>
  <si>
    <t>≥ 99,5%</t>
  </si>
  <si>
    <t>Mensual</t>
  </si>
  <si>
    <t>KRI-WS-02</t>
  </si>
  <si>
    <t>Versión del CMS</t>
  </si>
  <si>
    <t>Número de versiones de diferencia entre la versión instalada y la última versión estable disponible</t>
  </si>
  <si>
    <t>0 versiones</t>
  </si>
  <si>
    <t>KRI-WS-03</t>
  </si>
  <si>
    <t>Versión de PHP</t>
  </si>
  <si>
    <t>Estado de soporte de la versión de PHP instalada (activa, mantenimiento de seguridad, fin de vida)</t>
  </si>
  <si>
    <t>Activa</t>
  </si>
  <si>
    <t>KRI-WS-04</t>
  </si>
  <si>
    <t>Almacenamiento</t>
  </si>
  <si>
    <t>Porcentaje de uso del almacenamiento disponible en el servidor</t>
  </si>
  <si>
    <t>≤ 80%</t>
  </si>
  <si>
    <t>KRI-WS-05</t>
  </si>
  <si>
    <t>Alertas del WAF</t>
  </si>
  <si>
    <t>Número de alertas generadas por el Web Application Firewall en el período</t>
  </si>
  <si>
    <t>≤ 50 / mes</t>
  </si>
  <si>
    <t>KRI-WS-06</t>
  </si>
  <si>
    <t>Tickets de incidentes</t>
  </si>
  <si>
    <t>Número de tickets de incidente relacionados con el sitio web abiertos en el período</t>
  </si>
  <si>
    <t>≤ 2 / mes</t>
  </si>
  <si>
    <t>KRI-WS-07</t>
  </si>
  <si>
    <t>Plugins desactualizados</t>
  </si>
  <si>
    <t>Número de plugins instalados con actualizaciones pendientes disponibles</t>
  </si>
  <si>
    <t>0 plugins</t>
  </si>
  <si>
    <t>KRI-WS-08</t>
  </si>
  <si>
    <t>Usuarios administradores</t>
  </si>
  <si>
    <t>Número de cuentas con perfil de administrador activas en el CMS</t>
  </si>
  <si>
    <t>≤ 2</t>
  </si>
  <si>
    <t>KRI-WS-09</t>
  </si>
  <si>
    <t>CVEs activos</t>
  </si>
  <si>
    <t>Número de vulnerabilidades conocidas (CVE) sin parche aplicado sobre los componentes del sitio</t>
  </si>
  <si>
    <t>0</t>
  </si>
  <si>
    <t>Dashboard · KRI Sitios Web</t>
  </si>
  <si>
    <t>Resumen de estado — actualizado automáticamente desde la hoja KRI Websites</t>
  </si>
  <si>
    <t>Métrica</t>
  </si>
  <si>
    <t>Valor</t>
  </si>
  <si>
    <t>Total de KRIs</t>
  </si>
  <si>
    <t>KRIs en estado OK</t>
  </si>
  <si>
    <t>KRIs en Alerta</t>
  </si>
  <si>
    <t>KRIs en estado Crítico</t>
  </si>
  <si>
    <t>KRIs sin evaluar (N/A)</t>
  </si>
  <si>
    <t>KRIs pendientes</t>
  </si>
  <si>
    <t>Instructivo de uso — KRI Sitios Web (Cap. 11)</t>
  </si>
  <si>
    <t>Propósito</t>
  </si>
  <si>
    <t>Registrar mensualmente el valor de cada indicador de riesgo para el sitio web y compararlo contra el SLA definido en la tabla de KRIs.</t>
  </si>
  <si>
    <t>Hoja KRI Websites</t>
  </si>
  <si>
    <t>Complete las columnas 'Valor Actual', 'Estado', 'Fecha Medición' y 'Responsable' en cada ciclo de revisión. La columna 'Estado' usa lista desplegable: OK / Alerta / Crítico / N/A.</t>
  </si>
  <si>
    <t>Hoja Dashboard</t>
  </si>
  <si>
    <t>Muestra el conteo automático de KRIs por estado. No edite esta hoja directamente; sus valores se calculan desde la hoja KRI Websites.</t>
  </si>
  <si>
    <t>Criterio de Estado</t>
  </si>
  <si>
    <t>OK = valor dentro del SLA.  Alerta = valor fuera del SLA pero sin impacto operativo inmediato.  Crítico = valor fuera del SLA con impacto operativo activo o inminente.</t>
  </si>
  <si>
    <t>Frecuencia de revisión</t>
  </si>
  <si>
    <t>Todos los KRIs de este capítulo tienen frecuencia mensual. Se recomienda vincular la revisión al mantenimiento programado del sitio.</t>
  </si>
  <si>
    <t>Registre el nombre o rol de la persona que tomó la medición (p.ej. 'Administrador Web').</t>
  </si>
  <si>
    <t>Use este campo para documentar el contexto de valores fuera del SLA, acciones correctivas tomadas o compromisos de fecha para su resolución.</t>
  </si>
  <si>
    <t>Referencia</t>
  </si>
  <si>
    <t>Sección 11.x — Determinar KRIs. Libro: Ciberprotección para PyMES — Mauricio Vergara Manjarrés.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</si>
</sst>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Georgia"/>
    </font>
    <font>
      <sz val="10"/>
      <color rgb="FF5F5E5A"/>
      <name val="Calibri"/>
    </font>
    <font>
      <b/>
      <sz val="10"/>
      <color rgb="FFFFFFFF"/>
      <name val="Calibri"/>
    </font>
    <font>
      <sz val="10"/>
      <name val="Calibri"/>
    </font>
    <font>
      <b/>
      <sz val="10"/>
      <name val="Courier New"/>
    </font>
    <font>
      <b/>
      <sz val="13"/>
      <color rgb="FFFFFFFF"/>
      <name val="Georgia"/>
    </font>
    <font>
      <b/>
      <sz val="11"/>
      <color rgb="FFB5D4F4"/>
      <name val="Calibri"/>
    </font>
    <font>
      <b/>
      <sz val="11"/>
      <color rgb="FF3B6D11"/>
      <name val="Calibri"/>
    </font>
    <font>
      <b/>
      <sz val="11"/>
      <color rgb="FFBA7517"/>
      <name val="Calibri"/>
    </font>
    <font>
      <b/>
      <sz val="11"/>
      <color rgb="FFA32D2D"/>
      <name val="Calibri"/>
    </font>
    <font>
      <b/>
      <sz val="11"/>
      <color rgb="FF5F5E5A"/>
      <name val="Calibri"/>
    </font>
    <font>
      <b/>
      <sz val="11"/>
      <color rgb="FFD3D1C7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B5D4F4"/>
      </patternFill>
    </fill>
    <fill>
      <patternFill patternType="solid">
        <fgColor rgb="FFF2F7FC"/>
      </patternFill>
    </fill>
    <fill>
      <patternFill patternType="solid">
        <fgColor rgb="FFFFFFFF"/>
      </patternFill>
    </fill>
    <fill>
      <patternFill patternType="solid">
        <fgColor rgb="FF5F5E5A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workbookViewId="0">
      <pane ySplit="3" topLeftCell="A4" activePane="bottomLeft" state="frozen"/>
      <selection pane="bottomLeft" sqref="A1:J1"/>
    </sheetView>
  </sheetViews>
  <sheetFormatPr baseColWidth="10" defaultColWidth="9.140625" defaultRowHeight="15" x14ac:dyDescent="0.25"/>
  <cols>
    <col min="1" max="1" width="12" customWidth="1"/>
    <col min="2" max="2" width="22" customWidth="1"/>
    <col min="3" max="3" width="48" customWidth="1"/>
    <col min="4" max="4" width="16" customWidth="1"/>
    <col min="5" max="5" width="14" customWidth="1"/>
    <col min="6" max="6" width="16" customWidth="1"/>
    <col min="7" max="7" width="12" customWidth="1"/>
    <col min="8" max="8" width="18" customWidth="1"/>
    <col min="9" max="9" width="20" customWidth="1"/>
    <col min="10" max="10" width="30" customWidth="1"/>
  </cols>
  <sheetData>
    <row r="1" spans="1:10" ht="27.9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8" customHeight="1" x14ac:dyDescent="0.25">
      <c r="A2" s="21" t="s">
        <v>1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21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32.1" customHeight="1" x14ac:dyDescent="0.25">
      <c r="A4" s="2" t="s">
        <v>12</v>
      </c>
      <c r="B4" s="3" t="s">
        <v>13</v>
      </c>
      <c r="C4" s="4" t="s">
        <v>14</v>
      </c>
      <c r="D4" s="3" t="s">
        <v>15</v>
      </c>
      <c r="E4" s="3" t="s">
        <v>16</v>
      </c>
      <c r="F4" s="3"/>
      <c r="G4" s="3"/>
      <c r="H4" s="3"/>
      <c r="I4" s="3"/>
      <c r="J4" s="3"/>
    </row>
    <row r="5" spans="1:10" ht="32.1" customHeight="1" x14ac:dyDescent="0.25">
      <c r="A5" s="5" t="s">
        <v>17</v>
      </c>
      <c r="B5" s="6" t="s">
        <v>18</v>
      </c>
      <c r="C5" s="7" t="s">
        <v>19</v>
      </c>
      <c r="D5" s="6" t="s">
        <v>20</v>
      </c>
      <c r="E5" s="6" t="s">
        <v>16</v>
      </c>
      <c r="F5" s="6"/>
      <c r="G5" s="6"/>
      <c r="H5" s="6"/>
      <c r="I5" s="6"/>
      <c r="J5" s="6"/>
    </row>
    <row r="6" spans="1:10" ht="32.1" customHeight="1" x14ac:dyDescent="0.25">
      <c r="A6" s="2" t="s">
        <v>21</v>
      </c>
      <c r="B6" s="3" t="s">
        <v>22</v>
      </c>
      <c r="C6" s="4" t="s">
        <v>23</v>
      </c>
      <c r="D6" s="3" t="s">
        <v>24</v>
      </c>
      <c r="E6" s="3" t="s">
        <v>16</v>
      </c>
      <c r="F6" s="3"/>
      <c r="G6" s="3"/>
      <c r="H6" s="3"/>
      <c r="I6" s="3"/>
      <c r="J6" s="3"/>
    </row>
    <row r="7" spans="1:10" ht="32.1" customHeight="1" x14ac:dyDescent="0.25">
      <c r="A7" s="5" t="s">
        <v>25</v>
      </c>
      <c r="B7" s="6" t="s">
        <v>26</v>
      </c>
      <c r="C7" s="7" t="s">
        <v>27</v>
      </c>
      <c r="D7" s="6" t="s">
        <v>28</v>
      </c>
      <c r="E7" s="6" t="s">
        <v>16</v>
      </c>
      <c r="F7" s="6"/>
      <c r="G7" s="6"/>
      <c r="H7" s="6"/>
      <c r="I7" s="6"/>
      <c r="J7" s="6"/>
    </row>
    <row r="8" spans="1:10" ht="32.1" customHeight="1" x14ac:dyDescent="0.25">
      <c r="A8" s="2" t="s">
        <v>29</v>
      </c>
      <c r="B8" s="3" t="s">
        <v>30</v>
      </c>
      <c r="C8" s="4" t="s">
        <v>31</v>
      </c>
      <c r="D8" s="3" t="s">
        <v>32</v>
      </c>
      <c r="E8" s="3" t="s">
        <v>16</v>
      </c>
      <c r="F8" s="3"/>
      <c r="G8" s="3"/>
      <c r="H8" s="3"/>
      <c r="I8" s="3"/>
      <c r="J8" s="3"/>
    </row>
    <row r="9" spans="1:10" ht="32.1" customHeight="1" x14ac:dyDescent="0.25">
      <c r="A9" s="5" t="s">
        <v>33</v>
      </c>
      <c r="B9" s="6" t="s">
        <v>34</v>
      </c>
      <c r="C9" s="7" t="s">
        <v>35</v>
      </c>
      <c r="D9" s="6" t="s">
        <v>36</v>
      </c>
      <c r="E9" s="6" t="s">
        <v>16</v>
      </c>
      <c r="F9" s="6"/>
      <c r="G9" s="6"/>
      <c r="H9" s="6"/>
      <c r="I9" s="6"/>
      <c r="J9" s="6"/>
    </row>
    <row r="10" spans="1:10" ht="32.1" customHeight="1" x14ac:dyDescent="0.25">
      <c r="A10" s="2" t="s">
        <v>37</v>
      </c>
      <c r="B10" s="3" t="s">
        <v>38</v>
      </c>
      <c r="C10" s="4" t="s">
        <v>39</v>
      </c>
      <c r="D10" s="3" t="s">
        <v>40</v>
      </c>
      <c r="E10" s="3" t="s">
        <v>16</v>
      </c>
      <c r="F10" s="3"/>
      <c r="G10" s="3"/>
      <c r="H10" s="3"/>
      <c r="I10" s="3"/>
      <c r="J10" s="3"/>
    </row>
    <row r="11" spans="1:10" ht="32.1" customHeight="1" x14ac:dyDescent="0.25">
      <c r="A11" s="5" t="s">
        <v>41</v>
      </c>
      <c r="B11" s="6" t="s">
        <v>42</v>
      </c>
      <c r="C11" s="7" t="s">
        <v>43</v>
      </c>
      <c r="D11" s="6" t="s">
        <v>44</v>
      </c>
      <c r="E11" s="6" t="s">
        <v>16</v>
      </c>
      <c r="F11" s="6"/>
      <c r="G11" s="6"/>
      <c r="H11" s="6"/>
      <c r="I11" s="6"/>
      <c r="J11" s="6"/>
    </row>
    <row r="12" spans="1:10" ht="32.1" customHeight="1" x14ac:dyDescent="0.25">
      <c r="A12" s="2" t="s">
        <v>45</v>
      </c>
      <c r="B12" s="3" t="s">
        <v>46</v>
      </c>
      <c r="C12" s="4" t="s">
        <v>47</v>
      </c>
      <c r="D12" s="3" t="s">
        <v>48</v>
      </c>
      <c r="E12" s="3" t="s">
        <v>16</v>
      </c>
      <c r="F12" s="3"/>
      <c r="G12" s="3"/>
      <c r="H12" s="3"/>
      <c r="I12" s="3"/>
      <c r="J12" s="3"/>
    </row>
  </sheetData>
  <mergeCells count="2">
    <mergeCell ref="A1:J1"/>
    <mergeCell ref="A2:J2"/>
  </mergeCells>
  <dataValidations count="1">
    <dataValidation type="list" allowBlank="1" sqref="G4:G100" xr:uid="{00000000-0002-0000-0000-000000000000}">
      <formula1>"OK,Alerta,Crítico,N/A"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sqref="A1:F1"/>
    </sheetView>
  </sheetViews>
  <sheetFormatPr baseColWidth="10" defaultColWidth="9.140625" defaultRowHeight="15" x14ac:dyDescent="0.25"/>
  <cols>
    <col min="1" max="1" width="28" customWidth="1"/>
    <col min="2" max="2" width="16" customWidth="1"/>
  </cols>
  <sheetData>
    <row r="1" spans="1:6" ht="26.1" customHeight="1" x14ac:dyDescent="0.25">
      <c r="A1" s="23" t="s">
        <v>49</v>
      </c>
      <c r="B1" s="20"/>
      <c r="C1" s="20"/>
      <c r="D1" s="20"/>
      <c r="E1" s="20"/>
      <c r="F1" s="20"/>
    </row>
    <row r="2" spans="1:6" ht="15.95" customHeight="1" x14ac:dyDescent="0.25">
      <c r="A2" s="22" t="s">
        <v>50</v>
      </c>
      <c r="B2" s="20"/>
      <c r="C2" s="20"/>
      <c r="D2" s="20"/>
      <c r="E2" s="20"/>
      <c r="F2" s="20"/>
    </row>
    <row r="3" spans="1:6" x14ac:dyDescent="0.25">
      <c r="A3" s="8" t="s">
        <v>51</v>
      </c>
      <c r="B3" s="8" t="s">
        <v>52</v>
      </c>
    </row>
    <row r="4" spans="1:6" ht="20.100000000000001" customHeight="1" x14ac:dyDescent="0.25">
      <c r="A4" s="3" t="s">
        <v>53</v>
      </c>
      <c r="B4" s="9">
        <f>COUNTA('KRI Websites'!A4:A100)</f>
        <v>9</v>
      </c>
    </row>
    <row r="5" spans="1:6" ht="20.100000000000001" customHeight="1" x14ac:dyDescent="0.25">
      <c r="A5" s="3" t="s">
        <v>54</v>
      </c>
      <c r="B5" s="10">
        <f>COUNTIF('KRI Websites'!G4:G100,"OK")</f>
        <v>0</v>
      </c>
    </row>
    <row r="6" spans="1:6" ht="20.100000000000001" customHeight="1" x14ac:dyDescent="0.25">
      <c r="A6" s="3" t="s">
        <v>55</v>
      </c>
      <c r="B6" s="11">
        <f>COUNTIF('KRI Websites'!G4:G100,"Alerta")</f>
        <v>0</v>
      </c>
    </row>
    <row r="7" spans="1:6" ht="20.100000000000001" customHeight="1" x14ac:dyDescent="0.25">
      <c r="A7" s="3" t="s">
        <v>56</v>
      </c>
      <c r="B7" s="12">
        <f>COUNTIF('KRI Websites'!G4:G100,"Crítico")</f>
        <v>0</v>
      </c>
    </row>
    <row r="8" spans="1:6" ht="20.100000000000001" customHeight="1" x14ac:dyDescent="0.25">
      <c r="A8" s="3" t="s">
        <v>57</v>
      </c>
      <c r="B8" s="13">
        <f>COUNTIF('KRI Websites'!G4:G100,"N/A")</f>
        <v>0</v>
      </c>
    </row>
    <row r="9" spans="1:6" ht="20.100000000000001" customHeight="1" x14ac:dyDescent="0.25">
      <c r="A9" s="3" t="s">
        <v>58</v>
      </c>
      <c r="B9" s="14">
        <f>COUNTIF('KRI Websites'!G4:G100,"")</f>
        <v>97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tabSelected="1" workbookViewId="0">
      <selection sqref="A1:B1"/>
    </sheetView>
  </sheetViews>
  <sheetFormatPr baseColWidth="10" defaultColWidth="9.140625" defaultRowHeight="15" x14ac:dyDescent="0.25"/>
  <cols>
    <col min="1" max="1" width="22" customWidth="1"/>
    <col min="2" max="2" width="62" customWidth="1"/>
  </cols>
  <sheetData>
    <row r="1" spans="1:2" ht="26.1" customHeight="1" x14ac:dyDescent="0.25">
      <c r="A1" s="23" t="s">
        <v>59</v>
      </c>
      <c r="B1" s="20"/>
    </row>
    <row r="2" spans="1:2" ht="42" customHeight="1" x14ac:dyDescent="0.25">
      <c r="A2" s="15" t="s">
        <v>60</v>
      </c>
      <c r="B2" s="16" t="s">
        <v>61</v>
      </c>
    </row>
    <row r="3" spans="1:2" ht="42" customHeight="1" x14ac:dyDescent="0.25">
      <c r="A3" s="17" t="s">
        <v>62</v>
      </c>
      <c r="B3" s="18" t="s">
        <v>63</v>
      </c>
    </row>
    <row r="4" spans="1:2" ht="42" customHeight="1" x14ac:dyDescent="0.25">
      <c r="A4" s="17" t="s">
        <v>64</v>
      </c>
      <c r="B4" s="16" t="s">
        <v>65</v>
      </c>
    </row>
    <row r="5" spans="1:2" ht="42" customHeight="1" x14ac:dyDescent="0.25">
      <c r="A5" s="17" t="s">
        <v>66</v>
      </c>
      <c r="B5" s="18" t="s">
        <v>67</v>
      </c>
    </row>
    <row r="6" spans="1:2" ht="42" customHeight="1" x14ac:dyDescent="0.25">
      <c r="A6" s="17" t="s">
        <v>68</v>
      </c>
      <c r="B6" s="16" t="s">
        <v>69</v>
      </c>
    </row>
    <row r="7" spans="1:2" ht="42" customHeight="1" x14ac:dyDescent="0.25">
      <c r="A7" s="17" t="s">
        <v>10</v>
      </c>
      <c r="B7" s="18" t="s">
        <v>70</v>
      </c>
    </row>
    <row r="8" spans="1:2" ht="42" customHeight="1" x14ac:dyDescent="0.25">
      <c r="A8" s="17" t="s">
        <v>11</v>
      </c>
      <c r="B8" s="16" t="s">
        <v>71</v>
      </c>
    </row>
    <row r="9" spans="1:2" ht="42" customHeight="1" x14ac:dyDescent="0.25">
      <c r="A9" s="17" t="s">
        <v>72</v>
      </c>
      <c r="B9" s="18" t="s">
        <v>73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KRI Websites</vt:lpstr>
      <vt:lpstr>Dashboard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mvergara@openitnet.com</dc:creator>
  <cp:lastModifiedBy>Mauricio Vergara</cp:lastModifiedBy>
  <dcterms:created xsi:type="dcterms:W3CDTF">2026-05-29T21:25:08Z</dcterms:created>
  <dcterms:modified xsi:type="dcterms:W3CDTF">2026-05-29T21:29:05Z</dcterms:modified>
</cp:coreProperties>
</file>