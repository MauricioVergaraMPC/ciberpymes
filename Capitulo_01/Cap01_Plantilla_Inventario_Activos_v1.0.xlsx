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Libro MPC/Capitulos/01- Aspectos Generales/Templates/"/>
    </mc:Choice>
  </mc:AlternateContent>
  <xr:revisionPtr revIDLastSave="1" documentId="11_983ACBD9B85681D24663676CCDFE348AEC5164F3" xr6:coauthVersionLast="47" xr6:coauthVersionMax="47" xr10:uidLastSave="{DC0F0654-21C6-4D61-A167-0603E91AACDB}"/>
  <bookViews>
    <workbookView xWindow="3510" yWindow="3510" windowWidth="21600" windowHeight="11505" tabRatio="500" activeTab="1" xr2:uid="{00000000-000D-0000-FFFF-FFFF00000000}"/>
  </bookViews>
  <sheets>
    <sheet name="Dashboard" sheetId="4" r:id="rId1"/>
    <sheet name="Hardware" sheetId="1" r:id="rId2"/>
    <sheet name="Software" sheetId="2" r:id="rId3"/>
    <sheet name="Servicios" sheetId="3" r:id="rId4"/>
    <sheet name="Instructivo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" i="4" l="1"/>
  <c r="E7" i="4"/>
  <c r="D7" i="4"/>
  <c r="C7" i="4"/>
  <c r="B7" i="4"/>
  <c r="G7" i="4" s="1"/>
  <c r="F6" i="4"/>
  <c r="E6" i="4"/>
  <c r="D6" i="4"/>
  <c r="C6" i="4"/>
  <c r="B6" i="4"/>
  <c r="G6" i="4" s="1"/>
  <c r="F5" i="4"/>
  <c r="F8" i="4" s="1"/>
  <c r="E5" i="4"/>
  <c r="E8" i="4" s="1"/>
  <c r="D5" i="4"/>
  <c r="D8" i="4" s="1"/>
  <c r="C5" i="4"/>
  <c r="C8" i="4" s="1"/>
  <c r="B5" i="4"/>
  <c r="B8" i="4" s="1"/>
  <c r="G5" i="4" l="1"/>
  <c r="G8" i="4" s="1"/>
</calcChain>
</file>

<file path=xl/sharedStrings.xml><?xml version="1.0" encoding="utf-8"?>
<sst xmlns="http://schemas.openxmlformats.org/spreadsheetml/2006/main" count="163" uniqueCount="137">
  <si>
    <t>Inventario de Activos — Hardware  🖥️</t>
  </si>
  <si>
    <t>Registre cada activo de la categoría. Los campos marcados con * son obligatorios. Criticidad: 4-Crítico | 3-Alto | 2-Medio | 1-Bajo</t>
  </si>
  <si>
    <t>ID Activo *</t>
  </si>
  <si>
    <t>Nombre del Activo *</t>
  </si>
  <si>
    <t>Descripción</t>
  </si>
  <si>
    <t>Subcategoría *</t>
  </si>
  <si>
    <t>Tipo de Hardware *</t>
  </si>
  <si>
    <t>Dirección IP</t>
  </si>
  <si>
    <t>Dirección MAC</t>
  </si>
  <si>
    <t>VLAN / Segmento</t>
  </si>
  <si>
    <t>SO / Firmware</t>
  </si>
  <si>
    <t>Fabricante / Proveedor</t>
  </si>
  <si>
    <t>Modelo / Versión</t>
  </si>
  <si>
    <t>Número de Serie / Licencia</t>
  </si>
  <si>
    <t>Fecha de Adquisición</t>
  </si>
  <si>
    <t>Fecha de Vencimiento / EoL</t>
  </si>
  <si>
    <t>Propietario Funcional *</t>
  </si>
  <si>
    <t>Departamento</t>
  </si>
  <si>
    <t>Ubicación *</t>
  </si>
  <si>
    <t>Estado *</t>
  </si>
  <si>
    <t>HAR-001</t>
  </si>
  <si>
    <t>HAR-002</t>
  </si>
  <si>
    <t>HAR-003</t>
  </si>
  <si>
    <t>HAR-004</t>
  </si>
  <si>
    <t>HAR-005</t>
  </si>
  <si>
    <t>HAR-006</t>
  </si>
  <si>
    <t>HAR-007</t>
  </si>
  <si>
    <t>HAR-008</t>
  </si>
  <si>
    <t>HAR-009</t>
  </si>
  <si>
    <t>HAR-010</t>
  </si>
  <si>
    <t>HAR-011</t>
  </si>
  <si>
    <t>HAR-012</t>
  </si>
  <si>
    <t>HAR-013</t>
  </si>
  <si>
    <t>HAR-014</t>
  </si>
  <si>
    <t>HAR-015</t>
  </si>
  <si>
    <t>HAR-016</t>
  </si>
  <si>
    <t>HAR-017</t>
  </si>
  <si>
    <t>HAR-018</t>
  </si>
  <si>
    <t>HAR-019</t>
  </si>
  <si>
    <t>HAR-020</t>
  </si>
  <si>
    <t>HAR-021</t>
  </si>
  <si>
    <t>Inventario de Activos — Software  💿</t>
  </si>
  <si>
    <t>Tipo de Software *</t>
  </si>
  <si>
    <t>Versión instalada</t>
  </si>
  <si>
    <t>Plataforma / SO base</t>
  </si>
  <si>
    <t>Tipo de licencia</t>
  </si>
  <si>
    <t>Cantidad de licencias</t>
  </si>
  <si>
    <t>Equipo(s) asociado(s)</t>
  </si>
  <si>
    <t>SOF-001</t>
  </si>
  <si>
    <t>SOF-002</t>
  </si>
  <si>
    <t>SOF-003</t>
  </si>
  <si>
    <t>SOF-004</t>
  </si>
  <si>
    <t>SOF-005</t>
  </si>
  <si>
    <t>SOF-006</t>
  </si>
  <si>
    <t>SOF-007</t>
  </si>
  <si>
    <t>SOF-008</t>
  </si>
  <si>
    <t>SOF-009</t>
  </si>
  <si>
    <t>SOF-010</t>
  </si>
  <si>
    <t>SOF-011</t>
  </si>
  <si>
    <t>SOF-012</t>
  </si>
  <si>
    <t>SOF-013</t>
  </si>
  <si>
    <t>SOF-014</t>
  </si>
  <si>
    <t>SOF-015</t>
  </si>
  <si>
    <t>SOF-016</t>
  </si>
  <si>
    <t>SOF-017</t>
  </si>
  <si>
    <t>SOF-018</t>
  </si>
  <si>
    <t>SOF-019</t>
  </si>
  <si>
    <t>SOF-020</t>
  </si>
  <si>
    <t>SOF-021</t>
  </si>
  <si>
    <t>Inventario de Activos — Servicios en la Nube y Conectividad  ☁️</t>
  </si>
  <si>
    <t>Tipo de Servicio *</t>
  </si>
  <si>
    <t>URL / Endpoint</t>
  </si>
  <si>
    <t>Proveedor de servicio</t>
  </si>
  <si>
    <t>Contrato / Referencia</t>
  </si>
  <si>
    <t>Fecha inicio contrato</t>
  </si>
  <si>
    <t>Responsable técnico</t>
  </si>
  <si>
    <t>SRV-001</t>
  </si>
  <si>
    <t>SRV-002</t>
  </si>
  <si>
    <t>SRV-003</t>
  </si>
  <si>
    <t>SRV-004</t>
  </si>
  <si>
    <t>SRV-005</t>
  </si>
  <si>
    <t>SRV-006</t>
  </si>
  <si>
    <t>SRV-007</t>
  </si>
  <si>
    <t>SRV-008</t>
  </si>
  <si>
    <t>SRV-009</t>
  </si>
  <si>
    <t>SRV-010</t>
  </si>
  <si>
    <t>SRV-011</t>
  </si>
  <si>
    <t>SRV-012</t>
  </si>
  <si>
    <t>SRV-013</t>
  </si>
  <si>
    <t>SRV-014</t>
  </si>
  <si>
    <t>SRV-015</t>
  </si>
  <si>
    <t>SRV-016</t>
  </si>
  <si>
    <t>SRV-017</t>
  </si>
  <si>
    <t>SRV-018</t>
  </si>
  <si>
    <t>SRV-019</t>
  </si>
  <si>
    <t>SRV-020</t>
  </si>
  <si>
    <t>SRV-021</t>
  </si>
  <si>
    <t>Dashboard — Inventario de Activos TI</t>
  </si>
  <si>
    <t>Resumen consolidado generado automáticamente desde las hojas de registro.</t>
  </si>
  <si>
    <t>Categoría</t>
  </si>
  <si>
    <t>Total Activos registrados</t>
  </si>
  <si>
    <t>Críticos (4)</t>
  </si>
  <si>
    <t>Altos (3)</t>
  </si>
  <si>
    <t>Medios (2)</t>
  </si>
  <si>
    <t>Bajos (1)</t>
  </si>
  <si>
    <t>Sin clasificar</t>
  </si>
  <si>
    <t>Hardware</t>
  </si>
  <si>
    <t>Software</t>
  </si>
  <si>
    <t>Servicios</t>
  </si>
  <si>
    <t>TOTAL</t>
  </si>
  <si>
    <t>Escala de Criticidad — Referencia</t>
  </si>
  <si>
    <t>4 - Crítico</t>
  </si>
  <si>
    <t>Su falla detiene operaciones esenciales del negocio.</t>
  </si>
  <si>
    <t>3 - Alto</t>
  </si>
  <si>
    <t>Impacto significativo; existe workaround pero degradado.</t>
  </si>
  <si>
    <t>2 - Medio</t>
  </si>
  <si>
    <t>Impacto moderado; la operación continúa con restricciones.</t>
  </si>
  <si>
    <t>1 - Bajo</t>
  </si>
  <si>
    <t>Impacto mínimo; no afecta procesos críticos del negocio.</t>
  </si>
  <si>
    <t>Marco de referencia: NIST CSF 2.0  |  Función: Identificar (ID)  |  Categorías: ID.AM-01 Inventario de Hardware · ID.AM-02 Inventario de Software</t>
  </si>
  <si>
    <t>Instructivo de uso — Inventario de Activos TI</t>
  </si>
  <si>
    <t>PROPÓSITO</t>
  </si>
  <si>
    <t>Este libro de Excel implementa el inventario de activos requerido por la función Identificar (ID.AM) del NIST CSF 2.0. Cubre hardware, software y servicios conforme a las buenas prácticas de ciberseguridad para PyMEs.</t>
  </si>
  <si>
    <t>HOJAS DE TRABAJO</t>
  </si>
  <si>
    <t>• Hardware: Servidores, equipos de escritorio, portátiles, dispositivos de red.
• Software: Sistemas operativos, aplicaciones, licencias.
• Servicios: Nube, contratos de conectividad, certificados digitales.
• Dashboard: Resumen automático de totales y criticidades.
• Instructivo: Esta guía de uso.</t>
  </si>
  <si>
    <t>CAMPOS OBLIGATORIOS (*)</t>
  </si>
  <si>
    <t>ID Activo, Nombre, Subcategoría, Propietario Funcional, Ubicación, Estado y Criticidad son obligatorios. Sin ellos el registro queda incompleto para efectos del inventario.</t>
  </si>
  <si>
    <t>PROPIETARIO FUNCIONAL</t>
  </si>
  <si>
    <t>Indique el nombre del responsable funcional del activo (no necesariamente el área de TI). Ejemplo: 'Gerente Financiero' para un servidor de nómina.</t>
  </si>
  <si>
    <t>UBICACIÓN</t>
  </si>
  <si>
    <t>Para hardware: nombre del sitio físico, sala o rack. Para software/servicios: indique el entorno lógico (Producción / QA / Nube).</t>
  </si>
  <si>
    <t>CRITICIDAD</t>
  </si>
  <si>
    <t>Use la escala 4-Crítico / 3-Alto / 2-Medio / 1-Bajo para indicar el impacto operacional si el activo quedara fuera de servicio. Ver tabla en el Dashboard.</t>
  </si>
  <si>
    <t>ACTUALIZACION PERIÓDICA</t>
  </si>
  <si>
    <t>Se recomienda revisar y actualizar el inventario al menos trimestralmente, o ante cualquier cambio significativo en la infraestructura (adquisición, baja, cambio de proveedor).</t>
  </si>
  <si>
    <t>REFERENCIA NIST CSF 2.0</t>
  </si>
  <si>
    <t>ID.AM-01: Inventarios de activos de hardware gestionados, actualizados y mantenidos.
ID.AM-02: Inventarios de activos de software, servicios y sistemas gestionados.
ID.AM-05: Activos clasificados según criticidad para los objetivos del negocio.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</si>
</sst>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4"/>
      <color rgb="FFFFFFFF"/>
      <name val="Georgia"/>
      <charset val="1"/>
    </font>
    <font>
      <sz val="9"/>
      <color rgb="FFFFFFFF"/>
      <name val="Arial"/>
      <charset val="1"/>
    </font>
    <font>
      <b/>
      <sz val="9"/>
      <color rgb="FFFFFFFF"/>
      <name val="Calibri"/>
      <charset val="1"/>
    </font>
    <font>
      <b/>
      <sz val="10"/>
      <color rgb="FF185FA5"/>
      <name val="Arial"/>
      <charset val="1"/>
    </font>
    <font>
      <sz val="10"/>
      <color rgb="FF000000"/>
      <name val="Arial"/>
      <charset val="1"/>
    </font>
    <font>
      <b/>
      <sz val="16"/>
      <color rgb="FFFFFFFF"/>
      <name val="Georgia"/>
      <charset val="1"/>
    </font>
    <font>
      <b/>
      <sz val="10"/>
      <color rgb="FFFFFFFF"/>
      <name val="Calibri"/>
      <charset val="1"/>
    </font>
    <font>
      <b/>
      <sz val="10"/>
      <color rgb="FFFFFFFF"/>
      <name val="Arial"/>
      <charset val="1"/>
    </font>
    <font>
      <b/>
      <sz val="10"/>
      <color rgb="FFC00000"/>
      <name val="Arial"/>
      <charset val="1"/>
    </font>
    <font>
      <sz val="9"/>
      <color rgb="FF000000"/>
      <name val="Arial"/>
      <charset val="1"/>
    </font>
    <font>
      <b/>
      <sz val="10"/>
      <color rgb="FFE65100"/>
      <name val="Arial"/>
      <charset val="1"/>
    </font>
    <font>
      <b/>
      <sz val="10"/>
      <color rgb="FF827717"/>
      <name val="Arial"/>
      <charset val="1"/>
    </font>
    <font>
      <b/>
      <sz val="10"/>
      <color rgb="FF1B5E20"/>
      <name val="Arial"/>
      <charset val="1"/>
    </font>
    <font>
      <sz val="8"/>
      <color rgb="FF505050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763"/>
        <bgColor rgb="FF1F497D"/>
      </patternFill>
    </fill>
    <fill>
      <patternFill patternType="solid">
        <fgColor rgb="FF2F5496"/>
        <bgColor rgb="FF1F497D"/>
      </patternFill>
    </fill>
    <fill>
      <patternFill patternType="solid">
        <fgColor rgb="FFD6E4F0"/>
        <bgColor rgb="FFC8E6C9"/>
      </patternFill>
    </fill>
    <fill>
      <patternFill patternType="solid">
        <fgColor rgb="FFFFFFFF"/>
        <bgColor rgb="FFF2F2F2"/>
      </patternFill>
    </fill>
    <fill>
      <patternFill patternType="solid">
        <fgColor rgb="FF1F497D"/>
        <bgColor rgb="FF2F5496"/>
      </patternFill>
    </fill>
    <fill>
      <patternFill patternType="solid">
        <fgColor rgb="FFC55A11"/>
        <bgColor rgb="FFE65100"/>
      </patternFill>
    </fill>
    <fill>
      <patternFill patternType="solid">
        <fgColor rgb="FFFFCCCC"/>
        <bgColor rgb="FFFFE0B2"/>
      </patternFill>
    </fill>
    <fill>
      <patternFill patternType="solid">
        <fgColor rgb="FFFFE0B2"/>
        <bgColor rgb="FFFFCCCC"/>
      </patternFill>
    </fill>
    <fill>
      <patternFill patternType="solid">
        <fgColor rgb="FFFFF9C4"/>
        <bgColor rgb="FFF2F2F2"/>
      </patternFill>
    </fill>
    <fill>
      <patternFill patternType="solid">
        <fgColor rgb="FFC8E6C9"/>
        <bgColor rgb="FFD6E4F0"/>
      </patternFill>
    </fill>
    <fill>
      <patternFill patternType="solid">
        <fgColor rgb="FFF2F2F2"/>
        <bgColor rgb="FFFFFFFF"/>
      </patternFill>
    </fill>
  </fills>
  <borders count="5">
    <border>
      <left/>
      <right/>
      <top/>
      <bottom/>
      <diagonal/>
    </border>
    <border>
      <left style="medium">
        <color rgb="FF2F5496"/>
      </left>
      <right style="medium">
        <color rgb="FF2F5496"/>
      </right>
      <top style="medium">
        <color rgb="FF2F5496"/>
      </top>
      <bottom style="medium">
        <color rgb="FF2F5496"/>
      </bottom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8EA9C1"/>
      </left>
      <right/>
      <top style="thin">
        <color rgb="FF8EA9C1"/>
      </top>
      <bottom style="thin">
        <color rgb="FF8EA9C1"/>
      </bottom>
      <diagonal/>
    </border>
    <border>
      <left style="medium">
        <color rgb="FF2F5496"/>
      </left>
      <right/>
      <top style="medium">
        <color rgb="FF2F5496"/>
      </top>
      <bottom style="medium">
        <color rgb="FF2F5496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7" fillId="7" borderId="4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14" fillId="12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left" vertical="center" wrapText="1"/>
    </xf>
    <xf numFmtId="0" fontId="10" fillId="10" borderId="3" xfId="0" applyFont="1" applyFill="1" applyBorder="1" applyAlignment="1">
      <alignment horizontal="left" vertical="center" wrapText="1"/>
    </xf>
    <xf numFmtId="0" fontId="10" fillId="9" borderId="3" xfId="0" applyFont="1" applyFill="1" applyBorder="1" applyAlignment="1">
      <alignment horizontal="left" vertical="center" wrapText="1"/>
    </xf>
    <xf numFmtId="0" fontId="10" fillId="8" borderId="3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3" fillId="11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27717"/>
      <rgbColor rgb="FF800080"/>
      <rgbColor rgb="FF008080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185FA5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E0B2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E65100"/>
      <rgbColor rgb="FF2F5496"/>
      <rgbColor rgb="FF8EA9C1"/>
      <rgbColor rgb="FF1F3763"/>
      <rgbColor rgb="FF70AD47"/>
      <rgbColor rgb="FF003300"/>
      <rgbColor rgb="FF333300"/>
      <rgbColor rgb="FFC55A11"/>
      <rgbColor rgb="FF993366"/>
      <rgbColor rgb="FF1F497D"/>
      <rgbColor rgb="FF5050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763"/>
  </sheetPr>
  <dimension ref="A1:L16"/>
  <sheetViews>
    <sheetView zoomScaleNormal="100" workbookViewId="0">
      <selection sqref="A1:L1"/>
    </sheetView>
  </sheetViews>
  <sheetFormatPr baseColWidth="10" defaultColWidth="8.7109375" defaultRowHeight="15" x14ac:dyDescent="0.25"/>
  <cols>
    <col min="1" max="1" width="18" customWidth="1"/>
    <col min="2" max="7" width="22" customWidth="1"/>
  </cols>
  <sheetData>
    <row r="1" spans="1:12" ht="37.5" customHeight="1" x14ac:dyDescent="0.25">
      <c r="A1" s="10" t="s">
        <v>97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18" customHeight="1" x14ac:dyDescent="0.25">
      <c r="A2" s="11" t="s">
        <v>98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ht="30" customHeight="1" x14ac:dyDescent="0.25">
      <c r="A4" s="20" t="s">
        <v>99</v>
      </c>
      <c r="B4" s="20" t="s">
        <v>100</v>
      </c>
      <c r="C4" s="20" t="s">
        <v>101</v>
      </c>
      <c r="D4" s="20" t="s">
        <v>102</v>
      </c>
      <c r="E4" s="20" t="s">
        <v>103</v>
      </c>
      <c r="F4" s="20" t="s">
        <v>104</v>
      </c>
      <c r="G4" s="20" t="s">
        <v>105</v>
      </c>
    </row>
    <row r="5" spans="1:12" ht="15" customHeight="1" x14ac:dyDescent="0.25">
      <c r="A5" s="15" t="s">
        <v>106</v>
      </c>
      <c r="B5" s="21">
        <f>COUNTA(Hardware!B4:B200)</f>
        <v>0</v>
      </c>
      <c r="C5" s="21">
        <f>COUNTIF(Hardware!N4:N200,"4 - Crítico")</f>
        <v>0</v>
      </c>
      <c r="D5" s="21">
        <f>COUNTIF(Hardware!N4:N200,"3 - Alto")</f>
        <v>0</v>
      </c>
      <c r="E5" s="21">
        <f>COUNTIF(Hardware!N4:N200,"2 - Medio")</f>
        <v>0</v>
      </c>
      <c r="F5" s="21">
        <f>COUNTIF(Hardware!N4:N200,"1 - Bajo")</f>
        <v>0</v>
      </c>
      <c r="G5" s="21">
        <f>B5-C5-D5-E5-F5</f>
        <v>0</v>
      </c>
    </row>
    <row r="6" spans="1:12" ht="15" customHeight="1" x14ac:dyDescent="0.25">
      <c r="A6" s="15" t="s">
        <v>107</v>
      </c>
      <c r="B6" s="21">
        <f>COUNTA(Software!B4:B200)</f>
        <v>0</v>
      </c>
      <c r="C6" s="21">
        <f>COUNTIF(Software!N4:N200,"4 - Crítico")</f>
        <v>0</v>
      </c>
      <c r="D6" s="21">
        <f>COUNTIF(Software!N4:N200,"3 - Alto")</f>
        <v>0</v>
      </c>
      <c r="E6" s="21">
        <f>COUNTIF(Software!N4:N200,"2 - Medio")</f>
        <v>0</v>
      </c>
      <c r="F6" s="21">
        <f>COUNTIF(Software!N4:N200,"1 - Bajo")</f>
        <v>0</v>
      </c>
      <c r="G6" s="21">
        <f>B6-C6-D6-E6-F6</f>
        <v>0</v>
      </c>
    </row>
    <row r="7" spans="1:12" ht="15" customHeight="1" x14ac:dyDescent="0.25">
      <c r="A7" s="15" t="s">
        <v>108</v>
      </c>
      <c r="B7" s="21">
        <f>COUNTA(Servicios!B4:B200)</f>
        <v>0</v>
      </c>
      <c r="C7" s="21">
        <f>COUNTIF(Servicios!N4:N200,"4 - Crítico")</f>
        <v>0</v>
      </c>
      <c r="D7" s="21">
        <f>COUNTIF(Servicios!N4:N200,"3 - Alto")</f>
        <v>0</v>
      </c>
      <c r="E7" s="21">
        <f>COUNTIF(Servicios!N4:N200,"2 - Medio")</f>
        <v>0</v>
      </c>
      <c r="F7" s="21">
        <f>COUNTIF(Servicios!N4:N200,"1 - Bajo")</f>
        <v>0</v>
      </c>
      <c r="G7" s="21">
        <f>B7-C7-D7-E7-F7</f>
        <v>0</v>
      </c>
    </row>
    <row r="8" spans="1:12" ht="15" customHeight="1" x14ac:dyDescent="0.25">
      <c r="A8" s="22" t="s">
        <v>109</v>
      </c>
      <c r="B8" s="23">
        <f t="shared" ref="B8:G8" si="0">SUM(B5:B7)</f>
        <v>0</v>
      </c>
      <c r="C8" s="23">
        <f t="shared" si="0"/>
        <v>0</v>
      </c>
      <c r="D8" s="23">
        <f t="shared" si="0"/>
        <v>0</v>
      </c>
      <c r="E8" s="23">
        <f t="shared" si="0"/>
        <v>0</v>
      </c>
      <c r="F8" s="23">
        <f t="shared" si="0"/>
        <v>0</v>
      </c>
      <c r="G8" s="23">
        <f t="shared" si="0"/>
        <v>0</v>
      </c>
    </row>
    <row r="10" spans="1:12" ht="24" customHeight="1" x14ac:dyDescent="0.25">
      <c r="A10" s="9" t="s">
        <v>110</v>
      </c>
      <c r="B10" s="9"/>
      <c r="C10" s="9"/>
      <c r="D10" s="9"/>
      <c r="E10" s="9"/>
      <c r="F10" s="9"/>
      <c r="G10" s="9"/>
    </row>
    <row r="11" spans="1:12" ht="21.75" customHeight="1" x14ac:dyDescent="0.25">
      <c r="A11" s="24" t="s">
        <v>111</v>
      </c>
      <c r="B11" s="8" t="s">
        <v>112</v>
      </c>
      <c r="C11" s="8"/>
      <c r="D11" s="8"/>
      <c r="E11" s="8"/>
      <c r="F11" s="8"/>
      <c r="G11" s="8"/>
    </row>
    <row r="12" spans="1:12" ht="21.75" customHeight="1" x14ac:dyDescent="0.25">
      <c r="A12" s="25" t="s">
        <v>113</v>
      </c>
      <c r="B12" s="7" t="s">
        <v>114</v>
      </c>
      <c r="C12" s="7"/>
      <c r="D12" s="7"/>
      <c r="E12" s="7"/>
      <c r="F12" s="7"/>
      <c r="G12" s="7"/>
    </row>
    <row r="13" spans="1:12" ht="21.75" customHeight="1" x14ac:dyDescent="0.25">
      <c r="A13" s="26" t="s">
        <v>115</v>
      </c>
      <c r="B13" s="6" t="s">
        <v>116</v>
      </c>
      <c r="C13" s="6"/>
      <c r="D13" s="6"/>
      <c r="E13" s="6"/>
      <c r="F13" s="6"/>
      <c r="G13" s="6"/>
    </row>
    <row r="14" spans="1:12" ht="21.75" customHeight="1" x14ac:dyDescent="0.25">
      <c r="A14" s="27" t="s">
        <v>117</v>
      </c>
      <c r="B14" s="5" t="s">
        <v>118</v>
      </c>
      <c r="C14" s="5"/>
      <c r="D14" s="5"/>
      <c r="E14" s="5"/>
      <c r="F14" s="5"/>
      <c r="G14" s="5"/>
    </row>
    <row r="16" spans="1:12" ht="15" customHeight="1" x14ac:dyDescent="0.25">
      <c r="A16" s="4" t="s">
        <v>119</v>
      </c>
      <c r="B16" s="4"/>
      <c r="C16" s="4"/>
      <c r="D16" s="4"/>
      <c r="E16" s="4"/>
      <c r="F16" s="4"/>
      <c r="G16" s="4"/>
    </row>
  </sheetData>
  <mergeCells count="8">
    <mergeCell ref="B13:G13"/>
    <mergeCell ref="B14:G14"/>
    <mergeCell ref="A16:G16"/>
    <mergeCell ref="A1:L1"/>
    <mergeCell ref="A2:L2"/>
    <mergeCell ref="A10:G10"/>
    <mergeCell ref="B11:G11"/>
    <mergeCell ref="B12:G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A1:R24"/>
  <sheetViews>
    <sheetView tabSelected="1" zoomScaleNormal="100" workbookViewId="0">
      <pane ySplit="3" topLeftCell="A4" activePane="bottomLeft" state="frozen"/>
      <selection pane="bottomLeft" sqref="A1:R1"/>
    </sheetView>
  </sheetViews>
  <sheetFormatPr baseColWidth="10" defaultColWidth="8.7109375" defaultRowHeight="15" x14ac:dyDescent="0.25"/>
  <cols>
    <col min="1" max="1" width="12" customWidth="1"/>
    <col min="2" max="2" width="24" customWidth="1"/>
    <col min="3" max="3" width="30" customWidth="1"/>
    <col min="4" max="5" width="18" customWidth="1"/>
    <col min="6" max="6" width="16" customWidth="1"/>
    <col min="7" max="7" width="18" customWidth="1"/>
    <col min="8" max="8" width="16" customWidth="1"/>
    <col min="9" max="9" width="18" customWidth="1"/>
    <col min="10" max="10" width="20" customWidth="1"/>
    <col min="11" max="11" width="18" customWidth="1"/>
    <col min="12" max="12" width="22" customWidth="1"/>
    <col min="13" max="13" width="18" customWidth="1"/>
    <col min="14" max="14" width="20" customWidth="1"/>
    <col min="15" max="15" width="22" customWidth="1"/>
    <col min="16" max="16" width="18" customWidth="1"/>
    <col min="17" max="17" width="20" customWidth="1"/>
    <col min="18" max="18" width="14" customWidth="1"/>
  </cols>
  <sheetData>
    <row r="1" spans="1:18" ht="31.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ht="18" customHeight="1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1:18" ht="36" customHeight="1" x14ac:dyDescent="0.25">
      <c r="A3" s="13" t="s">
        <v>2</v>
      </c>
      <c r="B3" s="13" t="s">
        <v>3</v>
      </c>
      <c r="C3" s="13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3" t="s">
        <v>9</v>
      </c>
      <c r="I3" s="13" t="s">
        <v>10</v>
      </c>
      <c r="J3" s="13" t="s">
        <v>11</v>
      </c>
      <c r="K3" s="13" t="s">
        <v>12</v>
      </c>
      <c r="L3" s="13" t="s">
        <v>13</v>
      </c>
      <c r="M3" s="13" t="s">
        <v>14</v>
      </c>
      <c r="N3" s="13" t="s">
        <v>15</v>
      </c>
      <c r="O3" s="13" t="s">
        <v>16</v>
      </c>
      <c r="P3" s="13" t="s">
        <v>17</v>
      </c>
      <c r="Q3" s="13" t="s">
        <v>18</v>
      </c>
      <c r="R3" s="13" t="s">
        <v>19</v>
      </c>
    </row>
    <row r="4" spans="1:18" ht="15" customHeight="1" x14ac:dyDescent="0.25">
      <c r="A4" s="14" t="s">
        <v>20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spans="1:18" ht="15" customHeight="1" x14ac:dyDescent="0.25">
      <c r="A5" s="16" t="s">
        <v>21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ht="15" customHeight="1" x14ac:dyDescent="0.25">
      <c r="A6" s="14" t="s">
        <v>22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</row>
    <row r="7" spans="1:18" ht="15" customHeight="1" x14ac:dyDescent="0.25">
      <c r="A7" s="16" t="s">
        <v>23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spans="1:18" ht="15" customHeight="1" x14ac:dyDescent="0.25">
      <c r="A8" s="14" t="s">
        <v>24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</row>
    <row r="9" spans="1:18" ht="15" customHeight="1" x14ac:dyDescent="0.25">
      <c r="A9" s="16" t="s">
        <v>25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18" ht="15" customHeight="1" x14ac:dyDescent="0.25">
      <c r="A10" s="14" t="s">
        <v>26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</row>
    <row r="11" spans="1:18" ht="15" customHeight="1" x14ac:dyDescent="0.25">
      <c r="A11" s="16" t="s">
        <v>27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spans="1:18" ht="15" customHeight="1" x14ac:dyDescent="0.25">
      <c r="A12" s="14" t="s">
        <v>28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</row>
    <row r="13" spans="1:18" ht="15" customHeight="1" x14ac:dyDescent="0.25">
      <c r="A13" s="16" t="s">
        <v>29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 spans="1:18" ht="15" customHeight="1" x14ac:dyDescent="0.25">
      <c r="A14" s="14" t="s">
        <v>30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</row>
    <row r="15" spans="1:18" ht="15" customHeight="1" x14ac:dyDescent="0.25">
      <c r="A15" s="16" t="s">
        <v>31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15" customHeight="1" x14ac:dyDescent="0.25">
      <c r="A16" s="14" t="s">
        <v>32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</row>
    <row r="17" spans="1:18" ht="15" customHeight="1" x14ac:dyDescent="0.25">
      <c r="A17" s="16" t="s">
        <v>33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spans="1:18" ht="15" customHeight="1" x14ac:dyDescent="0.25">
      <c r="A18" s="14" t="s">
        <v>34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</row>
    <row r="19" spans="1:18" ht="15" customHeight="1" x14ac:dyDescent="0.25">
      <c r="A19" s="16" t="s">
        <v>35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</row>
    <row r="20" spans="1:18" ht="15" customHeight="1" x14ac:dyDescent="0.25">
      <c r="A20" s="14" t="s">
        <v>36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</row>
    <row r="21" spans="1:18" ht="15" customHeight="1" x14ac:dyDescent="0.25">
      <c r="A21" s="16" t="s">
        <v>37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 spans="1:18" ht="15" customHeight="1" x14ac:dyDescent="0.25">
      <c r="A22" s="14" t="s">
        <v>38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5" customHeight="1" x14ac:dyDescent="0.25">
      <c r="A23" s="16" t="s">
        <v>39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</row>
    <row r="24" spans="1:18" ht="15" customHeight="1" x14ac:dyDescent="0.25">
      <c r="A24" s="14" t="s">
        <v>40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</row>
  </sheetData>
  <mergeCells count="2">
    <mergeCell ref="A1:R1"/>
    <mergeCell ref="A2:R2"/>
  </mergeCells>
  <dataValidations count="1">
    <dataValidation type="list" allowBlank="1" showErrorMessage="1" errorTitle="Valor inválido" error="Seleccione un estado de la lista." sqref="R4:R200" xr:uid="{00000000-0002-0000-0000-000000000000}">
      <formula1>"Activo,En mantenimiento,Fuera de servicio,Dado de baja,Desconocido"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97D"/>
  </sheetPr>
  <dimension ref="A1:R24"/>
  <sheetViews>
    <sheetView zoomScaleNormal="100" workbookViewId="0">
      <pane ySplit="3" topLeftCell="A4" activePane="bottomLeft" state="frozen"/>
      <selection pane="bottomLeft" sqref="A1:R1"/>
    </sheetView>
  </sheetViews>
  <sheetFormatPr baseColWidth="10" defaultColWidth="8.7109375" defaultRowHeight="15" x14ac:dyDescent="0.25"/>
  <cols>
    <col min="1" max="1" width="12" customWidth="1"/>
    <col min="2" max="2" width="24" customWidth="1"/>
    <col min="3" max="3" width="30" customWidth="1"/>
    <col min="4" max="4" width="18" customWidth="1"/>
    <col min="5" max="5" width="20" customWidth="1"/>
    <col min="6" max="6" width="16" customWidth="1"/>
    <col min="7" max="7" width="20" customWidth="1"/>
    <col min="8" max="9" width="18" customWidth="1"/>
    <col min="10" max="10" width="24" customWidth="1"/>
    <col min="11" max="11" width="20" customWidth="1"/>
    <col min="12" max="12" width="18" customWidth="1"/>
    <col min="13" max="13" width="22" customWidth="1"/>
    <col min="14" max="14" width="18" customWidth="1"/>
    <col min="15" max="15" width="20" customWidth="1"/>
    <col min="16" max="16" width="22" customWidth="1"/>
    <col min="17" max="17" width="18" customWidth="1"/>
    <col min="18" max="18" width="20" customWidth="1"/>
  </cols>
  <sheetData>
    <row r="1" spans="1:18" ht="31.5" customHeight="1" x14ac:dyDescent="0.25">
      <c r="A1" s="12" t="s">
        <v>41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ht="18" customHeight="1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1:18" ht="36" customHeight="1" x14ac:dyDescent="0.25">
      <c r="A3" s="18" t="s">
        <v>2</v>
      </c>
      <c r="B3" s="18" t="s">
        <v>3</v>
      </c>
      <c r="C3" s="18" t="s">
        <v>4</v>
      </c>
      <c r="D3" s="18" t="s">
        <v>5</v>
      </c>
      <c r="E3" s="18" t="s">
        <v>42</v>
      </c>
      <c r="F3" s="18" t="s">
        <v>43</v>
      </c>
      <c r="G3" s="18" t="s">
        <v>44</v>
      </c>
      <c r="H3" s="18" t="s">
        <v>45</v>
      </c>
      <c r="I3" s="18" t="s">
        <v>46</v>
      </c>
      <c r="J3" s="18" t="s">
        <v>47</v>
      </c>
      <c r="K3" s="18" t="s">
        <v>11</v>
      </c>
      <c r="L3" s="18" t="s">
        <v>12</v>
      </c>
      <c r="M3" s="18" t="s">
        <v>13</v>
      </c>
      <c r="N3" s="18" t="s">
        <v>14</v>
      </c>
      <c r="O3" s="18" t="s">
        <v>15</v>
      </c>
      <c r="P3" s="18" t="s">
        <v>16</v>
      </c>
      <c r="Q3" s="18" t="s">
        <v>17</v>
      </c>
      <c r="R3" s="18" t="s">
        <v>18</v>
      </c>
    </row>
    <row r="4" spans="1:18" ht="15" customHeight="1" x14ac:dyDescent="0.25">
      <c r="A4" s="14" t="s">
        <v>48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spans="1:18" ht="15" customHeight="1" x14ac:dyDescent="0.25">
      <c r="A5" s="16" t="s">
        <v>49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ht="15" customHeight="1" x14ac:dyDescent="0.25">
      <c r="A6" s="14" t="s">
        <v>50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</row>
    <row r="7" spans="1:18" ht="15" customHeight="1" x14ac:dyDescent="0.25">
      <c r="A7" s="16" t="s">
        <v>51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spans="1:18" ht="15" customHeight="1" x14ac:dyDescent="0.25">
      <c r="A8" s="14" t="s">
        <v>52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</row>
    <row r="9" spans="1:18" ht="15" customHeight="1" x14ac:dyDescent="0.25">
      <c r="A9" s="16" t="s">
        <v>53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18" ht="15" customHeight="1" x14ac:dyDescent="0.25">
      <c r="A10" s="14" t="s">
        <v>54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</row>
    <row r="11" spans="1:18" ht="15" customHeight="1" x14ac:dyDescent="0.25">
      <c r="A11" s="16" t="s">
        <v>55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spans="1:18" ht="15" customHeight="1" x14ac:dyDescent="0.25">
      <c r="A12" s="14" t="s">
        <v>56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</row>
    <row r="13" spans="1:18" ht="15" customHeight="1" x14ac:dyDescent="0.25">
      <c r="A13" s="16" t="s">
        <v>57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 spans="1:18" ht="15" customHeight="1" x14ac:dyDescent="0.25">
      <c r="A14" s="14" t="s">
        <v>58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</row>
    <row r="15" spans="1:18" ht="15" customHeight="1" x14ac:dyDescent="0.25">
      <c r="A15" s="16" t="s">
        <v>59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15" customHeight="1" x14ac:dyDescent="0.25">
      <c r="A16" s="14" t="s">
        <v>60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</row>
    <row r="17" spans="1:18" ht="15" customHeight="1" x14ac:dyDescent="0.25">
      <c r="A17" s="16" t="s">
        <v>61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spans="1:18" ht="15" customHeight="1" x14ac:dyDescent="0.25">
      <c r="A18" s="14" t="s">
        <v>62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</row>
    <row r="19" spans="1:18" ht="15" customHeight="1" x14ac:dyDescent="0.25">
      <c r="A19" s="16" t="s">
        <v>63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</row>
    <row r="20" spans="1:18" ht="15" customHeight="1" x14ac:dyDescent="0.25">
      <c r="A20" s="14" t="s">
        <v>64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</row>
    <row r="21" spans="1:18" ht="15" customHeight="1" x14ac:dyDescent="0.25">
      <c r="A21" s="16" t="s">
        <v>65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 spans="1:18" ht="15" customHeight="1" x14ac:dyDescent="0.25">
      <c r="A22" s="14" t="s">
        <v>66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5" customHeight="1" x14ac:dyDescent="0.25">
      <c r="A23" s="16" t="s">
        <v>67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</row>
    <row r="24" spans="1:18" ht="15" customHeight="1" x14ac:dyDescent="0.25">
      <c r="A24" s="14" t="s">
        <v>68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</row>
  </sheetData>
  <mergeCells count="2">
    <mergeCell ref="A1:R1"/>
    <mergeCell ref="A2:R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55A11"/>
  </sheetPr>
  <dimension ref="A1:R24"/>
  <sheetViews>
    <sheetView zoomScaleNormal="100" workbookViewId="0">
      <pane ySplit="3" topLeftCell="A4" activePane="bottomLeft" state="frozen"/>
      <selection pane="bottomLeft" sqref="A1:R1"/>
    </sheetView>
  </sheetViews>
  <sheetFormatPr baseColWidth="10" defaultColWidth="8.7109375" defaultRowHeight="15" x14ac:dyDescent="0.25"/>
  <cols>
    <col min="1" max="1" width="12" customWidth="1"/>
    <col min="2" max="2" width="24" customWidth="1"/>
    <col min="3" max="3" width="30" customWidth="1"/>
    <col min="4" max="4" width="18" customWidth="1"/>
    <col min="5" max="5" width="22" customWidth="1"/>
    <col min="6" max="6" width="28" customWidth="1"/>
    <col min="7" max="8" width="22" customWidth="1"/>
    <col min="9" max="9" width="18" customWidth="1"/>
    <col min="10" max="10" width="22" customWidth="1"/>
    <col min="11" max="11" width="20" customWidth="1"/>
    <col min="12" max="12" width="18" customWidth="1"/>
    <col min="13" max="13" width="22" customWidth="1"/>
    <col min="14" max="14" width="18" customWidth="1"/>
    <col min="15" max="15" width="20" customWidth="1"/>
    <col min="16" max="16" width="22" customWidth="1"/>
    <col min="17" max="17" width="18" customWidth="1"/>
    <col min="18" max="18" width="20" customWidth="1"/>
  </cols>
  <sheetData>
    <row r="1" spans="1:18" ht="31.5" customHeight="1" x14ac:dyDescent="0.25">
      <c r="A1" s="12" t="s">
        <v>69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ht="18" customHeight="1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1:18" ht="36" customHeight="1" x14ac:dyDescent="0.25">
      <c r="A3" s="19" t="s">
        <v>2</v>
      </c>
      <c r="B3" s="19" t="s">
        <v>3</v>
      </c>
      <c r="C3" s="19" t="s">
        <v>4</v>
      </c>
      <c r="D3" s="19" t="s">
        <v>5</v>
      </c>
      <c r="E3" s="19" t="s">
        <v>70</v>
      </c>
      <c r="F3" s="19" t="s">
        <v>71</v>
      </c>
      <c r="G3" s="19" t="s">
        <v>72</v>
      </c>
      <c r="H3" s="19" t="s">
        <v>73</v>
      </c>
      <c r="I3" s="19" t="s">
        <v>74</v>
      </c>
      <c r="J3" s="19" t="s">
        <v>75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16</v>
      </c>
      <c r="Q3" s="19" t="s">
        <v>17</v>
      </c>
      <c r="R3" s="19" t="s">
        <v>18</v>
      </c>
    </row>
    <row r="4" spans="1:18" ht="15" customHeight="1" x14ac:dyDescent="0.25">
      <c r="A4" s="14" t="s">
        <v>76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spans="1:18" ht="15" customHeight="1" x14ac:dyDescent="0.25">
      <c r="A5" s="16" t="s">
        <v>77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ht="15" customHeight="1" x14ac:dyDescent="0.25">
      <c r="A6" s="14" t="s">
        <v>78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</row>
    <row r="7" spans="1:18" ht="15" customHeight="1" x14ac:dyDescent="0.25">
      <c r="A7" s="16" t="s">
        <v>79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spans="1:18" ht="15" customHeight="1" x14ac:dyDescent="0.25">
      <c r="A8" s="14" t="s">
        <v>80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</row>
    <row r="9" spans="1:18" ht="15" customHeight="1" x14ac:dyDescent="0.25">
      <c r="A9" s="16" t="s">
        <v>81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18" ht="15" customHeight="1" x14ac:dyDescent="0.25">
      <c r="A10" s="14" t="s">
        <v>82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</row>
    <row r="11" spans="1:18" ht="15" customHeight="1" x14ac:dyDescent="0.25">
      <c r="A11" s="16" t="s">
        <v>83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spans="1:18" ht="15" customHeight="1" x14ac:dyDescent="0.25">
      <c r="A12" s="14" t="s">
        <v>84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</row>
    <row r="13" spans="1:18" ht="15" customHeight="1" x14ac:dyDescent="0.25">
      <c r="A13" s="16" t="s">
        <v>85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 spans="1:18" ht="15" customHeight="1" x14ac:dyDescent="0.25">
      <c r="A14" s="14" t="s">
        <v>86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</row>
    <row r="15" spans="1:18" ht="15" customHeight="1" x14ac:dyDescent="0.25">
      <c r="A15" s="16" t="s">
        <v>87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15" customHeight="1" x14ac:dyDescent="0.25">
      <c r="A16" s="14" t="s">
        <v>88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</row>
    <row r="17" spans="1:18" ht="15" customHeight="1" x14ac:dyDescent="0.25">
      <c r="A17" s="16" t="s">
        <v>89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spans="1:18" ht="15" customHeight="1" x14ac:dyDescent="0.25">
      <c r="A18" s="14" t="s">
        <v>90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</row>
    <row r="19" spans="1:18" ht="15" customHeight="1" x14ac:dyDescent="0.25">
      <c r="A19" s="16" t="s">
        <v>91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</row>
    <row r="20" spans="1:18" ht="15" customHeight="1" x14ac:dyDescent="0.25">
      <c r="A20" s="14" t="s">
        <v>92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</row>
    <row r="21" spans="1:18" ht="15" customHeight="1" x14ac:dyDescent="0.25">
      <c r="A21" s="16" t="s">
        <v>93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 spans="1:18" ht="15" customHeight="1" x14ac:dyDescent="0.25">
      <c r="A22" s="14" t="s">
        <v>94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15" customHeight="1" x14ac:dyDescent="0.25">
      <c r="A23" s="16" t="s">
        <v>95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</row>
    <row r="24" spans="1:18" ht="15" customHeight="1" x14ac:dyDescent="0.25">
      <c r="A24" s="14" t="s">
        <v>96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</row>
  </sheetData>
  <mergeCells count="2">
    <mergeCell ref="A1:R1"/>
    <mergeCell ref="A2:R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F25"/>
  <sheetViews>
    <sheetView topLeftCell="A4" zoomScaleNormal="100" workbookViewId="0">
      <selection sqref="A1:F1"/>
    </sheetView>
  </sheetViews>
  <sheetFormatPr baseColWidth="10" defaultColWidth="8.7109375" defaultRowHeight="15" x14ac:dyDescent="0.25"/>
  <cols>
    <col min="1" max="1" width="16" customWidth="1"/>
    <col min="2" max="6" width="20" customWidth="1"/>
  </cols>
  <sheetData>
    <row r="1" spans="1:6" ht="31.5" customHeight="1" x14ac:dyDescent="0.25">
      <c r="A1" s="12" t="s">
        <v>120</v>
      </c>
      <c r="B1" s="12"/>
      <c r="C1" s="12"/>
      <c r="D1" s="12"/>
      <c r="E1" s="12"/>
      <c r="F1" s="12"/>
    </row>
    <row r="3" spans="1:6" ht="21.75" customHeight="1" x14ac:dyDescent="0.25">
      <c r="A3" s="3" t="s">
        <v>121</v>
      </c>
      <c r="B3" s="3"/>
      <c r="C3" s="3"/>
      <c r="D3" s="3"/>
      <c r="E3" s="3"/>
      <c r="F3" s="3"/>
    </row>
    <row r="4" spans="1:6" ht="39.75" customHeight="1" x14ac:dyDescent="0.25">
      <c r="A4" s="2" t="s">
        <v>122</v>
      </c>
      <c r="B4" s="2"/>
      <c r="C4" s="2"/>
      <c r="D4" s="2"/>
      <c r="E4" s="2"/>
      <c r="F4" s="2"/>
    </row>
    <row r="6" spans="1:6" ht="21.75" customHeight="1" x14ac:dyDescent="0.25">
      <c r="A6" s="3" t="s">
        <v>123</v>
      </c>
      <c r="B6" s="3"/>
      <c r="C6" s="3"/>
      <c r="D6" s="3"/>
      <c r="E6" s="3"/>
      <c r="F6" s="3"/>
    </row>
    <row r="7" spans="1:6" ht="90" customHeight="1" x14ac:dyDescent="0.25">
      <c r="A7" s="2" t="s">
        <v>124</v>
      </c>
      <c r="B7" s="2"/>
      <c r="C7" s="2"/>
      <c r="D7" s="2"/>
      <c r="E7" s="2"/>
      <c r="F7" s="2"/>
    </row>
    <row r="9" spans="1:6" ht="21.75" customHeight="1" x14ac:dyDescent="0.25">
      <c r="A9" s="3" t="s">
        <v>125</v>
      </c>
      <c r="B9" s="3"/>
      <c r="C9" s="3"/>
      <c r="D9" s="3"/>
      <c r="E9" s="3"/>
      <c r="F9" s="3"/>
    </row>
    <row r="10" spans="1:6" ht="39.75" customHeight="1" x14ac:dyDescent="0.25">
      <c r="A10" s="2" t="s">
        <v>126</v>
      </c>
      <c r="B10" s="2"/>
      <c r="C10" s="2"/>
      <c r="D10" s="2"/>
      <c r="E10" s="2"/>
      <c r="F10" s="2"/>
    </row>
    <row r="12" spans="1:6" ht="21.75" customHeight="1" x14ac:dyDescent="0.25">
      <c r="A12" s="3" t="s">
        <v>127</v>
      </c>
      <c r="B12" s="3"/>
      <c r="C12" s="3"/>
      <c r="D12" s="3"/>
      <c r="E12" s="3"/>
      <c r="F12" s="3"/>
    </row>
    <row r="13" spans="1:6" ht="39.75" customHeight="1" x14ac:dyDescent="0.25">
      <c r="A13" s="2" t="s">
        <v>128</v>
      </c>
      <c r="B13" s="2"/>
      <c r="C13" s="2"/>
      <c r="D13" s="2"/>
      <c r="E13" s="2"/>
      <c r="F13" s="2"/>
    </row>
    <row r="15" spans="1:6" ht="21.75" customHeight="1" x14ac:dyDescent="0.25">
      <c r="A15" s="3" t="s">
        <v>129</v>
      </c>
      <c r="B15" s="3"/>
      <c r="C15" s="3"/>
      <c r="D15" s="3"/>
      <c r="E15" s="3"/>
      <c r="F15" s="3"/>
    </row>
    <row r="16" spans="1:6" ht="39.75" customHeight="1" x14ac:dyDescent="0.25">
      <c r="A16" s="2" t="s">
        <v>130</v>
      </c>
      <c r="B16" s="2"/>
      <c r="C16" s="2"/>
      <c r="D16" s="2"/>
      <c r="E16" s="2"/>
      <c r="F16" s="2"/>
    </row>
    <row r="18" spans="1:6" ht="21.75" customHeight="1" x14ac:dyDescent="0.25">
      <c r="A18" s="3" t="s">
        <v>131</v>
      </c>
      <c r="B18" s="3"/>
      <c r="C18" s="3"/>
      <c r="D18" s="3"/>
      <c r="E18" s="3"/>
      <c r="F18" s="3"/>
    </row>
    <row r="19" spans="1:6" ht="39.75" customHeight="1" x14ac:dyDescent="0.25">
      <c r="A19" s="2" t="s">
        <v>132</v>
      </c>
      <c r="B19" s="2"/>
      <c r="C19" s="2"/>
      <c r="D19" s="2"/>
      <c r="E19" s="2"/>
      <c r="F19" s="2"/>
    </row>
    <row r="21" spans="1:6" ht="21.75" customHeight="1" x14ac:dyDescent="0.25">
      <c r="A21" s="1" t="s">
        <v>133</v>
      </c>
      <c r="B21" s="1"/>
      <c r="C21" s="1"/>
      <c r="D21" s="1"/>
      <c r="E21" s="1"/>
      <c r="F21" s="1"/>
    </row>
    <row r="22" spans="1:6" ht="39.75" customHeight="1" x14ac:dyDescent="0.25">
      <c r="A22" s="2" t="s">
        <v>134</v>
      </c>
      <c r="B22" s="2"/>
      <c r="C22" s="2"/>
      <c r="D22" s="2"/>
      <c r="E22" s="2"/>
      <c r="F22" s="2"/>
    </row>
    <row r="24" spans="1:6" ht="21.75" customHeight="1" x14ac:dyDescent="0.25">
      <c r="A24" s="3" t="s">
        <v>135</v>
      </c>
      <c r="B24" s="3"/>
      <c r="C24" s="3"/>
      <c r="D24" s="3"/>
      <c r="E24" s="3"/>
      <c r="F24" s="3"/>
    </row>
    <row r="25" spans="1:6" ht="54" customHeight="1" x14ac:dyDescent="0.25">
      <c r="A25" s="2" t="s">
        <v>136</v>
      </c>
      <c r="B25" s="2"/>
      <c r="C25" s="2"/>
      <c r="D25" s="2"/>
      <c r="E25" s="2"/>
      <c r="F25" s="2"/>
    </row>
  </sheetData>
  <mergeCells count="17">
    <mergeCell ref="A24:F24"/>
    <mergeCell ref="A25:F25"/>
    <mergeCell ref="A16:F16"/>
    <mergeCell ref="A18:F18"/>
    <mergeCell ref="A19:F19"/>
    <mergeCell ref="A21:F21"/>
    <mergeCell ref="A22:F22"/>
    <mergeCell ref="A9:F9"/>
    <mergeCell ref="A10:F10"/>
    <mergeCell ref="A12:F12"/>
    <mergeCell ref="A13:F13"/>
    <mergeCell ref="A15:F15"/>
    <mergeCell ref="A1:F1"/>
    <mergeCell ref="A3:F3"/>
    <mergeCell ref="A4:F4"/>
    <mergeCell ref="A6:F6"/>
    <mergeCell ref="A7:F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Dashboard</vt:lpstr>
      <vt:lpstr>Hardware</vt:lpstr>
      <vt:lpstr>Software</vt:lpstr>
      <vt:lpstr>Servicios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Mauricio Vergara</cp:lastModifiedBy>
  <cp:revision>0</cp:revision>
  <dcterms:created xsi:type="dcterms:W3CDTF">2026-04-22T15:43:42Z</dcterms:created>
  <dcterms:modified xsi:type="dcterms:W3CDTF">2026-05-14T14:45:59Z</dcterms:modified>
  <dc:language>en-US</dc:language>
</cp:coreProperties>
</file>