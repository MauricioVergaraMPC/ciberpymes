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BIA" sheetId="1" state="visible" r:id="rId3"/>
    <sheet name="Dashboard" sheetId="2" state="visible" r:id="rId4"/>
    <sheet name="Escalas de Referencia" sheetId="3" state="visible" r:id="rId5"/>
    <sheet name="Instructivo"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<sst xmlns="http://schemas.openxmlformats.org/spreadsheetml/2006/main" count="320" uniqueCount="242">
  <si>
    <t xml:space="preserve">ANÁLISIS DE IMPACTO — SISTEMAS Y SERVIDORES TI</t>
  </si>
  <si>
    <t xml:space="preserve">Capítulo 1 — Aspectos Generales  |  Marco de referencia: NIST CSF 2.0 — Función Responder (RS)  |  Libro: Ciberprotección para PyMEs</t>
  </si>
  <si>
    <t xml:space="preserve">IDENTIFICACIÓN DEL SISTEMA</t>
  </si>
  <si>
    <t xml:space="preserve">CLASIFICACIÓN</t>
  </si>
  <si>
    <t xml:space="preserve">DEPENDENCIAS</t>
  </si>
  <si>
    <t xml:space="preserve">MÉTRICAS DE RECUPERACIÓN</t>
  </si>
  <si>
    <t xml:space="preserve">IMPACTO POR DIMENSIÓN</t>
  </si>
  <si>
    <t xml:space="preserve">ÍNDICE DE IMPACTO</t>
  </si>
  <si>
    <t xml:space="preserve">ESTRATEGIA DE RECUPERACIÓN</t>
  </si>
  <si>
    <t xml:space="preserve">OBSERVACIONES</t>
  </si>
  <si>
    <t xml:space="preserve">ID</t>
  </si>
  <si>
    <t xml:space="preserve">Nombre del sistema / servidor</t>
  </si>
  <si>
    <t xml:space="preserve">Tipo de servidor</t>
  </si>
  <si>
    <t xml:space="preserve">Criticidad</t>
  </si>
  <si>
    <t xml:space="preserve">Función NIST CSF 2.0</t>
  </si>
  <si>
    <t xml:space="preserve">Propietario TI</t>
  </si>
  <si>
    <t xml:space="preserve">Sistemas que dependen de él</t>
  </si>
  <si>
    <t xml:space="preserve">Sistemas de los que depende</t>
  </si>
  <si>
    <t xml:space="preserve">¿Tiene respaldo?</t>
  </si>
  <si>
    <t xml:space="preserve">RTO (horas)</t>
  </si>
  <si>
    <t xml:space="preserve">RPO (horas)</t>
  </si>
  <si>
    <t xml:space="preserve">Último respaldo verificado</t>
  </si>
  <si>
    <t xml:space="preserve">Impacto Operativo (1–4)</t>
  </si>
  <si>
    <t xml:space="preserve">Impacto Económico (1–4)</t>
  </si>
  <si>
    <t xml:space="preserve">Impacto Reputacional (1–4)</t>
  </si>
  <si>
    <t xml:space="preserve">Índice de Impacto</t>
  </si>
  <si>
    <t xml:space="preserve">Estrategia de recuperación</t>
  </si>
  <si>
    <t xml:space="preserve">Herramienta de respaldo</t>
  </si>
  <si>
    <t xml:space="preserve">Observaciones</t>
  </si>
  <si>
    <t xml:space="preserve">SRV-001</t>
  </si>
  <si>
    <t xml:space="preserve">Servidor de base de datos principal</t>
  </si>
  <si>
    <t xml:space="preserve">Base de datos</t>
  </si>
  <si>
    <t xml:space="preserve">4-Crítico</t>
  </si>
  <si>
    <t xml:space="preserve">PR.DS</t>
  </si>
  <si>
    <t xml:space="preserve">Administrador TI</t>
  </si>
  <si>
    <t xml:space="preserve">ERP, CRM, sitio web</t>
  </si>
  <si>
    <t xml:space="preserve">Ninguno</t>
  </si>
  <si>
    <t xml:space="preserve">Sí</t>
  </si>
  <si>
    <t xml:space="preserve">2026-04-20</t>
  </si>
  <si>
    <t xml:space="preserve">Veeam / Bacula</t>
  </si>
  <si>
    <t xml:space="preserve">Contiene datos financieros y de clientes</t>
  </si>
  <si>
    <t xml:space="preserve">SRV-002</t>
  </si>
  <si>
    <t xml:space="preserve">Servidor de correo electrónico</t>
  </si>
  <si>
    <t xml:space="preserve">Correo</t>
  </si>
  <si>
    <t xml:space="preserve">3-Alto</t>
  </si>
  <si>
    <t xml:space="preserve">Todos los usuarios</t>
  </si>
  <si>
    <t xml:space="preserve">DNS, Directorio</t>
  </si>
  <si>
    <t xml:space="preserve">Veeam</t>
  </si>
  <si>
    <t xml:space="preserve">SRV-003</t>
  </si>
  <si>
    <t xml:space="preserve">Controlador de dominio (AD)</t>
  </si>
  <si>
    <t xml:space="preserve">Directorio</t>
  </si>
  <si>
    <t xml:space="preserve">PR.AA</t>
  </si>
  <si>
    <t xml:space="preserve">Todos los servidores</t>
  </si>
  <si>
    <t xml:space="preserve">DNS</t>
  </si>
  <si>
    <t xml:space="preserve">2026-04-19</t>
  </si>
  <si>
    <t xml:space="preserve">Windows Server Backup</t>
  </si>
  <si>
    <t xml:space="preserve">Requiere controlador secundario</t>
  </si>
  <si>
    <t xml:space="preserve">SRV-004</t>
  </si>
  <si>
    <t xml:space="preserve">Servidor DNS interno</t>
  </si>
  <si>
    <t xml:space="preserve">Toda la red interna</t>
  </si>
  <si>
    <t xml:space="preserve">Bind9 + scripts</t>
  </si>
  <si>
    <t xml:space="preserve">SRV-005</t>
  </si>
  <si>
    <t xml:space="preserve">Servidor de archivos compartidos</t>
  </si>
  <si>
    <t xml:space="preserve">Archivos</t>
  </si>
  <si>
    <t xml:space="preserve">AD, DNS</t>
  </si>
  <si>
    <t xml:space="preserve">SRV-006</t>
  </si>
  <si>
    <t xml:space="preserve">ERP / sistema contable</t>
  </si>
  <si>
    <t xml:space="preserve">Aplicación</t>
  </si>
  <si>
    <t xml:space="preserve">Gerencia TI</t>
  </si>
  <si>
    <t xml:space="preserve">Finanzas, Operaciones</t>
  </si>
  <si>
    <t xml:space="preserve">BD principal, AD</t>
  </si>
  <si>
    <t xml:space="preserve">2026-04-18</t>
  </si>
  <si>
    <t xml:space="preserve">Proveedor ERP</t>
  </si>
  <si>
    <t xml:space="preserve">Coordinar con proveedor ante incidente</t>
  </si>
  <si>
    <t xml:space="preserve">SRV-007</t>
  </si>
  <si>
    <t xml:space="preserve">Servidor web / intranet</t>
  </si>
  <si>
    <t xml:space="preserve">Web</t>
  </si>
  <si>
    <t xml:space="preserve">2-Medio</t>
  </si>
  <si>
    <t xml:space="preserve">Usuarios internos</t>
  </si>
  <si>
    <t xml:space="preserve">BD, DNS</t>
  </si>
  <si>
    <t xml:space="preserve">2026-04-17</t>
  </si>
  <si>
    <t xml:space="preserve">Rsync + scripts</t>
  </si>
  <si>
    <t xml:space="preserve">SRV-008</t>
  </si>
  <si>
    <t xml:space="preserve">Servidor VPN</t>
  </si>
  <si>
    <t xml:space="preserve">Red</t>
  </si>
  <si>
    <t xml:space="preserve">Teletrabajadores</t>
  </si>
  <si>
    <t xml:space="preserve">AD, DNS, Firewall</t>
  </si>
  <si>
    <t xml:space="preserve">SRV-009</t>
  </si>
  <si>
    <t xml:space="preserve">Sistema de tickets (ITSM)</t>
  </si>
  <si>
    <t xml:space="preserve">RS.MA</t>
  </si>
  <si>
    <t xml:space="preserve">Equipo TI</t>
  </si>
  <si>
    <t xml:space="preserve">BD, correo</t>
  </si>
  <si>
    <t xml:space="preserve">2026-04-16</t>
  </si>
  <si>
    <t xml:space="preserve">Scripts BD</t>
  </si>
  <si>
    <t xml:space="preserve">SRV-010</t>
  </si>
  <si>
    <t xml:space="preserve">Servidor de monitoreo (SIEM/SMON)</t>
  </si>
  <si>
    <t xml:space="preserve">Monitoreo</t>
  </si>
  <si>
    <t xml:space="preserve">DE.CM</t>
  </si>
  <si>
    <t xml:space="preserve">Red interna</t>
  </si>
  <si>
    <t xml:space="preserve">Ansible + scripts</t>
  </si>
  <si>
    <t xml:space="preserve">Wazuh / Zabbix</t>
  </si>
  <si>
    <t xml:space="preserve">SRV-011</t>
  </si>
  <si>
    <t xml:space="preserve">SRV-012</t>
  </si>
  <si>
    <t xml:space="preserve">SRV-013</t>
  </si>
  <si>
    <t xml:space="preserve">SRV-014</t>
  </si>
  <si>
    <t xml:space="preserve">SRV-015</t>
  </si>
  <si>
    <t xml:space="preserve">SRV-016</t>
  </si>
  <si>
    <t xml:space="preserve">SRV-017</t>
  </si>
  <si>
    <t xml:space="preserve">SRV-018</t>
  </si>
  <si>
    <t xml:space="preserve">SRV-019</t>
  </si>
  <si>
    <t xml:space="preserve">SRV-020</t>
  </si>
  <si>
    <t xml:space="preserve">SRV-021</t>
  </si>
  <si>
    <t xml:space="preserve">SRV-022</t>
  </si>
  <si>
    <t xml:space="preserve">SRV-023</t>
  </si>
  <si>
    <t xml:space="preserve">SRV-024</t>
  </si>
  <si>
    <t xml:space="preserve">SRV-025</t>
  </si>
  <si>
    <t xml:space="preserve">SRV-026</t>
  </si>
  <si>
    <t xml:space="preserve">SRV-027</t>
  </si>
  <si>
    <t xml:space="preserve">SRV-028</t>
  </si>
  <si>
    <t xml:space="preserve">SRV-029</t>
  </si>
  <si>
    <t xml:space="preserve">SRV-030</t>
  </si>
  <si>
    <t xml:space="preserve">DASHBOARD — ANÁLISIS DE IMPACTO (BIA)</t>
  </si>
  <si>
    <t xml:space="preserve">Resumen ejecutivo para la Dirección  |  Ciberprotección para PyMEs — Capítulo 1</t>
  </si>
  <si>
    <t xml:space="preserve">SISTEMAS POR NIVEL DE CRITICIDAD</t>
  </si>
  <si>
    <t xml:space="preserve">ESTADO DE RESPALDO</t>
  </si>
  <si>
    <t xml:space="preserve">sistemas</t>
  </si>
  <si>
    <t xml:space="preserve">Con respaldo: Sí</t>
  </si>
  <si>
    <t xml:space="preserve">Con respaldo: No</t>
  </si>
  <si>
    <t xml:space="preserve">Con respaldo: Parcial</t>
  </si>
  <si>
    <t xml:space="preserve">1-Bajo</t>
  </si>
  <si>
    <t xml:space="preserve">TOTAL</t>
  </si>
  <si>
    <t xml:space="preserve">sistemas registrados</t>
  </si>
  <si>
    <t xml:space="preserve">RTO PROMEDIO POR CRITICIDAD (horas)</t>
  </si>
  <si>
    <t xml:space="preserve">⚠  SISTEMAS CRÍTICOS SIN RESPALDO — REQUIEREN ATENCIÓN INMEDIATA</t>
  </si>
  <si>
    <t xml:space="preserve">horas promedio</t>
  </si>
  <si>
    <t xml:space="preserve">Nombre del sistema</t>
  </si>
  <si>
    <t xml:space="preserve">RTO (h)</t>
  </si>
  <si>
    <t xml:space="preserve">Propietario</t>
  </si>
  <si>
    <t xml:space="preserve">→ Filtrar en hoja BIA: Criticidad 4-Crítico / 3-Alto + Respaldo = No</t>
  </si>
  <si>
    <t xml:space="preserve">ESCALAS DE REFERENCIA — BIA</t>
  </si>
  <si>
    <t xml:space="preserve">ESCALA DE CRITICIDAD DEL SISTEMA</t>
  </si>
  <si>
    <t xml:space="preserve">Nivel</t>
  </si>
  <si>
    <t xml:space="preserve">Etiqueta</t>
  </si>
  <si>
    <t xml:space="preserve">Descripción</t>
  </si>
  <si>
    <t xml:space="preserve">Ejemplos típicos</t>
  </si>
  <si>
    <t xml:space="preserve">RTO sugerido</t>
  </si>
  <si>
    <t xml:space="preserve">RPO sugerido</t>
  </si>
  <si>
    <t xml:space="preserve">4</t>
  </si>
  <si>
    <t xml:space="preserve">Crítico</t>
  </si>
  <si>
    <t xml:space="preserve">Su falla detiene la operación completa del negocio.</t>
  </si>
  <si>
    <t xml:space="preserve">BD principal, AD, DNS, ERP, firewall</t>
  </si>
  <si>
    <t xml:space="preserve">≤ 2 horas</t>
  </si>
  <si>
    <t xml:space="preserve">≤ 1 hora</t>
  </si>
  <si>
    <t xml:space="preserve">3</t>
  </si>
  <si>
    <t xml:space="preserve">Alto</t>
  </si>
  <si>
    <t xml:space="preserve">Su falla afecta procesos importantes pero no detiene todo.</t>
  </si>
  <si>
    <t xml:space="preserve">Correo, VPN, servidor de archivos, ITSM</t>
  </si>
  <si>
    <t xml:space="preserve">2–8 horas</t>
  </si>
  <si>
    <t xml:space="preserve">1–4 horas</t>
  </si>
  <si>
    <t xml:space="preserve">2</t>
  </si>
  <si>
    <t xml:space="preserve">Medio</t>
  </si>
  <si>
    <t xml:space="preserve">Su falla genera inconvenientes pero hay alternativas manuales.</t>
  </si>
  <si>
    <t xml:space="preserve">Intranet, reportes, servidor de impresión</t>
  </si>
  <si>
    <t xml:space="preserve">8–24 horas</t>
  </si>
  <si>
    <t xml:space="preserve">4–8 horas</t>
  </si>
  <si>
    <t xml:space="preserve">1</t>
  </si>
  <si>
    <t xml:space="preserve">Bajo</t>
  </si>
  <si>
    <t xml:space="preserve">Su falla no afecta operaciones críticas.</t>
  </si>
  <si>
    <t xml:space="preserve">Servidor de pruebas, wikis internas</t>
  </si>
  <si>
    <t xml:space="preserve">&gt; 24 horas</t>
  </si>
  <si>
    <t xml:space="preserve">&gt; 8 horas</t>
  </si>
  <si>
    <t xml:space="preserve">ESCALA DE IMPACTO POR DIMENSIÓN (1–4)</t>
  </si>
  <si>
    <t xml:space="preserve">Valor</t>
  </si>
  <si>
    <t xml:space="preserve">Impacto Operativo</t>
  </si>
  <si>
    <t xml:space="preserve">Impacto Económico</t>
  </si>
  <si>
    <t xml:space="preserve">Impacto Reputacional</t>
  </si>
  <si>
    <t xml:space="preserve">Detención total de operaciones</t>
  </si>
  <si>
    <t xml:space="preserve">Pérdida económica mayor / multas regulatorias</t>
  </si>
  <si>
    <t xml:space="preserve">Daño reputacional grave y público</t>
  </si>
  <si>
    <t xml:space="preserve">Afecta procesos clave, sin alternativa</t>
  </si>
  <si>
    <t xml:space="preserve">Pérdida económica significativa</t>
  </si>
  <si>
    <t xml:space="preserve">Quejas de clientes / cobertura mediática</t>
  </si>
  <si>
    <t xml:space="preserve">Reduce eficiencia, hay alternativa manual</t>
  </si>
  <si>
    <t xml:space="preserve">Pérdida menor / costos de workaround</t>
  </si>
  <si>
    <t xml:space="preserve">Molestia interna, sin exposición pública</t>
  </si>
  <si>
    <t xml:space="preserve">Impacto mínimo o imperceptible</t>
  </si>
  <si>
    <t xml:space="preserve">Sin impacto económico relevante</t>
  </si>
  <si>
    <t xml:space="preserve">Sin impacto reputacional</t>
  </si>
  <si>
    <t xml:space="preserve">REFERENCIA NIST CSF 2.0</t>
  </si>
  <si>
    <t xml:space="preserve">Código</t>
  </si>
  <si>
    <t xml:space="preserve">Función / Categoría NIST CSF 2.0</t>
  </si>
  <si>
    <t xml:space="preserve">Aplicación en el BIA</t>
  </si>
  <si>
    <t xml:space="preserve">GV.OC</t>
  </si>
  <si>
    <t xml:space="preserve">Govern — Organizational Context</t>
  </si>
  <si>
    <t xml:space="preserve">Contexto organizacional y tolerancia al riesgo</t>
  </si>
  <si>
    <t xml:space="preserve">ID.AM</t>
  </si>
  <si>
    <t xml:space="preserve">Identify — Asset Management</t>
  </si>
  <si>
    <t xml:space="preserve">Inventario y gestión de activos TI</t>
  </si>
  <si>
    <t xml:space="preserve">Protect — Data Security</t>
  </si>
  <si>
    <t xml:space="preserve">Protección de datos y sistemas</t>
  </si>
  <si>
    <t xml:space="preserve">Protect — Identity Management</t>
  </si>
  <si>
    <t xml:space="preserve">Gestión de identidades y control de acceso</t>
  </si>
  <si>
    <t xml:space="preserve">Detect — Continuous Monitoring</t>
  </si>
  <si>
    <t xml:space="preserve">Monitoreo continuo</t>
  </si>
  <si>
    <t xml:space="preserve">RS.AN</t>
  </si>
  <si>
    <t xml:space="preserve">Respond — Incident Analysis</t>
  </si>
  <si>
    <t xml:space="preserve">Análisis del incidente</t>
  </si>
  <si>
    <t xml:space="preserve">Respond — Incident Management</t>
  </si>
  <si>
    <t xml:space="preserve">Gestión y contención del incidente</t>
  </si>
  <si>
    <t xml:space="preserve">RC.RP</t>
  </si>
  <si>
    <t xml:space="preserve">Recover — Incident Recovery Plan</t>
  </si>
  <si>
    <t xml:space="preserve">Plan de recuperación</t>
  </si>
  <si>
    <t xml:space="preserve">INSTRUCTIVO DE USO — PLANTILLA BIA</t>
  </si>
  <si>
    <t xml:space="preserve">PROPÓSITO</t>
  </si>
  <si>
    <t xml:space="preserve">¿Qué es el BIA?</t>
  </si>
  <si>
    <t xml:space="preserve">El Análisis de Impacto (Business Impact Analysis) identifica qué sistemas TI son críticos para la operación, qué tan rápido deben recuperarse ante un incidente (RTO), cuánta información puede perderse sin consecuencias irreparables (RPO), y cuál es el impacto potencial de su falla en las dimensiones operativa, económica y reputacional.</t>
  </si>
  <si>
    <t xml:space="preserve">¿Para qué sirve esta plantilla?</t>
  </si>
  <si>
    <t xml:space="preserve">Apoya el diseño del Plan de Recuperación de Desastres (DRP) y la priorización de recursos de respaldo. Es el insumo principal para definir qué servidores se recuperan primero ante un incidente mayor.</t>
  </si>
  <si>
    <t xml:space="preserve">INSTRUCCIONES DE LLENADO</t>
  </si>
  <si>
    <t xml:space="preserve">Hoja BIA</t>
  </si>
  <si>
    <t xml:space="preserve">Complete una fila por cada servidor o sistema TI del entorno. Use los IDs sugeridos (SRV-001, SRV-002...) o defina su propia nomenclatura. No deje en blanco las columnas de Criticidad, RTO, RPO ni Impacto.</t>
  </si>
  <si>
    <t xml:space="preserve">Seleccione del menú desplegable: 4-Crítico / 3-Alto / 2-Medio / 1-Bajo. Use la hoja 'Escalas de Referencia' para guiar la decisión. Ante la duda, clasifique hacia arriba (más crítico).</t>
  </si>
  <si>
    <t xml:space="preserve">RTO y RPO</t>
  </si>
  <si>
    <t xml:space="preserve">Exprese en horas. El RTO es el tiempo máximo tolerable de inactividad. El RPO es la cantidad máxima de información que puede perderse. Ambos valores deben ser acordados con la Dirección, no definidos solo por TI.</t>
  </si>
  <si>
    <t xml:space="preserve">Impacto (columnas M, N, O)</t>
  </si>
  <si>
    <t xml:space="preserve">Califique de 1 a 4 cada dimensión: Operativa (afectación a procesos), Económica (pérdidas o costos), Reputacional (daño ante clientes o terceros). El Índice de Impacto (col. P) se calcula automáticamente como el promedio de las tres.</t>
  </si>
  <si>
    <t xml:space="preserve">5</t>
  </si>
  <si>
    <t xml:space="preserve">Dependencias</t>
  </si>
  <si>
    <t xml:space="preserve">Documente qué sistemas dependen de este servidor y de cuáles depende él. Esta información es crítica para definir el orden de recuperación en el DRP.</t>
  </si>
  <si>
    <t xml:space="preserve">6</t>
  </si>
  <si>
    <t xml:space="preserve">Dashboard</t>
  </si>
  <si>
    <t xml:space="preserve">La hoja Dashboard se actualiza automáticamente. Úsela para presentar el resumen ejecutivo a la Dirección sin necesidad de compartir toda la hoja BIA.</t>
  </si>
  <si>
    <t xml:space="preserve">7</t>
  </si>
  <si>
    <t xml:space="preserve">Revisión periódica</t>
  </si>
  <si>
    <t xml:space="preserve">Actualice esta plantilla cada vez que se incorpore, retire o modifique un sistema crítico. Revísela obligatoriamente después de cada incidente mayor.</t>
  </si>
  <si>
    <t xml:space="preserve">ALINEACIÓN NIST CSF 2.0</t>
  </si>
  <si>
    <t xml:space="preserve">Función Responder (RS)</t>
  </si>
  <si>
    <t xml:space="preserve">Esta plantilla apoya directamente las categorías RS.AN (Análisis del incidente) y RS.MA (Gestión del incidente), al proporcionar la información de criticidad y dependencias necesaria para tomar decisiones de respuesta.</t>
  </si>
  <si>
    <t xml:space="preserve">Función Identificar (ID)</t>
  </si>
  <si>
    <t xml:space="preserve">La columna de función NIST CSF 2.0 en la hoja BIA vincula cada sistema con su categoría de gestión dentro del framework, facilitando la trazabilidad del inventario (ID.AM).</t>
  </si>
  <si>
    <t xml:space="preserve">REPOSITORIO</t>
  </si>
  <si>
    <t xml:space="preserve">Plantilla disponible en: github.com/MauricioVergaraMPC/ciberpymes</t>
  </si>
</sst>
</file>

<file path=xl/styles.xml><?xml version="1.0" encoding="utf-8"?>
<styleSheet xmlns="http://schemas.openxmlformats.org/spreadsheetml/2006/main">
  <numFmts count="4">
    <numFmt numFmtId="164" formatCode="General"/>
    <numFmt numFmtId="165" formatCode="yyyy\-mm\-dd"/>
    <numFmt numFmtId="166" formatCode="0.0"/>
    <numFmt numFmtId="167" formatCode="General"/>
  </numFmts>
  <fonts count="21">
    <font>
      <sz val="11"/>
      <color theme="1"/>
      <name val="Calibri"/>
      <family val="2"/>
      <charset val="1"/>
    </font>
    <font>
      <sz val="10"/>
      <name val="Arial"/>
      <family val="0"/>
    </font>
    <font>
      <sz val="10"/>
      <name val="Arial"/>
      <family val="0"/>
    </font>
    <font>
      <sz val="10"/>
      <name val="Arial"/>
      <family val="0"/>
    </font>
    <font>
      <b val="true"/>
      <sz val="14"/>
      <color rgb="FFFFFFFF"/>
      <name val="Calibri"/>
      <family val="0"/>
      <charset val="1"/>
    </font>
    <font>
      <i val="true"/>
      <sz val="9"/>
      <color rgb="FFFFFFFF"/>
      <name val="Calibri"/>
      <family val="0"/>
      <charset val="1"/>
    </font>
    <font>
      <b val="true"/>
      <sz val="9"/>
      <color rgb="FFFFFFFF"/>
      <name val="Calibri"/>
      <family val="0"/>
      <charset val="1"/>
    </font>
    <font>
      <sz val="9"/>
      <color rgb="FF000000"/>
      <name val="Arial"/>
      <family val="0"/>
      <charset val="1"/>
    </font>
    <font>
      <b val="true"/>
      <sz val="9"/>
      <color rgb="FF000000"/>
      <name val="Arial"/>
      <family val="0"/>
      <charset val="1"/>
    </font>
    <font>
      <sz val="9"/>
      <color rgb="FFAAAAAA"/>
      <name val="Arial"/>
      <family val="0"/>
      <charset val="1"/>
    </font>
    <font>
      <b val="true"/>
      <sz val="10"/>
      <color rgb="FFFFFFFF"/>
      <name val="Calibri"/>
      <family val="0"/>
      <charset val="1"/>
    </font>
    <font>
      <b val="true"/>
      <sz val="9"/>
      <color rgb="FFFFFFFF"/>
      <name val="Arial"/>
      <family val="0"/>
      <charset val="1"/>
    </font>
    <font>
      <b val="true"/>
      <sz val="10"/>
      <color rgb="FF000000"/>
      <name val="Arial"/>
      <family val="0"/>
      <charset val="1"/>
    </font>
    <font>
      <b val="true"/>
      <sz val="10"/>
      <color rgb="FFFFFFFF"/>
      <name val="Arial"/>
      <family val="0"/>
      <charset val="1"/>
    </font>
    <font>
      <sz val="9"/>
      <color rgb="FFFFFFFF"/>
      <name val="Arial"/>
      <family val="0"/>
      <charset val="1"/>
    </font>
    <font>
      <i val="true"/>
      <sz val="8"/>
      <color rgb="FF888888"/>
      <name val="Arial"/>
      <family val="0"/>
      <charset val="1"/>
    </font>
    <font>
      <b val="true"/>
      <sz val="13"/>
      <color rgb="FFFFFFFF"/>
      <name val="Calibri"/>
      <family val="0"/>
      <charset val="1"/>
    </font>
    <font>
      <b val="true"/>
      <sz val="9"/>
      <name val="Arial"/>
      <family val="0"/>
      <charset val="1"/>
    </font>
    <font>
      <sz val="9"/>
      <name val="Arial"/>
      <family val="0"/>
      <charset val="1"/>
    </font>
    <font>
      <b val="true"/>
      <sz val="10"/>
      <color rgb="FF185FA5"/>
      <name val="Calibri"/>
      <family val="0"/>
      <charset val="1"/>
    </font>
    <font>
      <b val="true"/>
      <sz val="9"/>
      <color rgb="FF000000"/>
      <name val="Calibri"/>
      <family val="0"/>
      <charset val="1"/>
    </font>
  </fonts>
  <fills count="13">
    <fill>
      <patternFill patternType="none"/>
    </fill>
    <fill>
      <patternFill patternType="gray125"/>
    </fill>
    <fill>
      <patternFill patternType="solid">
        <fgColor rgb="FF1F3763"/>
        <bgColor rgb="FF333333"/>
      </patternFill>
    </fill>
    <fill>
      <patternFill patternType="solid">
        <fgColor rgb="FF2F5496"/>
        <bgColor rgb="FF185FA5"/>
      </patternFill>
    </fill>
    <fill>
      <patternFill patternType="solid">
        <fgColor rgb="FFD6E4F0"/>
        <bgColor rgb="FFCCFFFF"/>
      </patternFill>
    </fill>
    <fill>
      <patternFill patternType="solid">
        <fgColor rgb="FF185FA5"/>
        <bgColor rgb="FF2F5496"/>
      </patternFill>
    </fill>
    <fill>
      <patternFill patternType="solid">
        <fgColor rgb="FFFFFFFF"/>
        <bgColor rgb="FFFAFAFA"/>
      </patternFill>
    </fill>
    <fill>
      <patternFill patternType="solid">
        <fgColor rgb="FFFAFAFA"/>
        <bgColor rgb="FFFFFFFF"/>
      </patternFill>
    </fill>
    <fill>
      <patternFill patternType="solid">
        <fgColor rgb="FFC00000"/>
        <bgColor rgb="FF800000"/>
      </patternFill>
    </fill>
    <fill>
      <patternFill patternType="solid">
        <fgColor rgb="FF70AD47"/>
        <bgColor rgb="FF888888"/>
      </patternFill>
    </fill>
    <fill>
      <patternFill patternType="solid">
        <fgColor rgb="FFC55A11"/>
        <bgColor rgb="FF993300"/>
      </patternFill>
    </fill>
    <fill>
      <patternFill patternType="solid">
        <fgColor rgb="FFFFD966"/>
        <bgColor rgb="FFFFCC00"/>
      </patternFill>
    </fill>
    <fill>
      <patternFill patternType="solid">
        <fgColor rgb="FFFCE4D6"/>
        <bgColor rgb="FFFAFAFA"/>
      </patternFill>
    </fill>
  </fills>
  <borders count="3">
    <border diagonalUp="false" diagonalDown="false">
      <left/>
      <right/>
      <top/>
      <bottom/>
      <diagonal/>
    </border>
    <border diagonalUp="false" diagonalDown="false">
      <left style="thin">
        <color rgb="FFFFFFFF"/>
      </left>
      <right style="thin">
        <color rgb="FFFFFFFF"/>
      </right>
      <top style="thin">
        <color rgb="FFFFFFFF"/>
      </top>
      <bottom style="thin">
        <color rgb="FFFFFFFF"/>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0" fillId="4" borderId="0" xfId="0" applyFont="false" applyBorder="true" applyAlignment="fals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4" fontId="6" fillId="3" borderId="0" xfId="0" applyFont="true" applyBorder="true" applyAlignment="true" applyProtection="false">
      <alignment horizontal="center" vertical="center" textRotation="0" wrapText="true" indent="0" shrinkToFit="false"/>
      <protection locked="true" hidden="false"/>
    </xf>
    <xf numFmtId="164" fontId="6" fillId="5" borderId="0" xfId="0" applyFont="true" applyBorder="true" applyAlignment="true" applyProtection="false">
      <alignment horizontal="center" vertical="center" textRotation="0" wrapText="true" indent="0" shrinkToFit="false"/>
      <protection locked="true" hidden="false"/>
    </xf>
    <xf numFmtId="164" fontId="6" fillId="5" borderId="0" xfId="0" applyFont="true" applyBorder="false" applyAlignment="true" applyProtection="false">
      <alignment horizontal="center" vertical="center" textRotation="0" wrapText="true" indent="0" shrinkToFit="false"/>
      <protection locked="true" hidden="false"/>
    </xf>
    <xf numFmtId="164" fontId="6" fillId="3" borderId="0" xfId="0" applyFont="true" applyBorder="false" applyAlignment="true" applyProtection="false">
      <alignment horizontal="center" vertical="center" textRotation="0" wrapText="true" indent="0" shrinkToFit="false"/>
      <protection locked="true" hidden="false"/>
    </xf>
    <xf numFmtId="164" fontId="6" fillId="5" borderId="1" xfId="0" applyFont="true" applyBorder="true" applyAlignment="true" applyProtection="false">
      <alignment horizontal="center" vertical="center" textRotation="0" wrapText="true" indent="0" shrinkToFit="false"/>
      <protection locked="true" hidden="false"/>
    </xf>
    <xf numFmtId="164" fontId="7" fillId="6" borderId="2" xfId="0" applyFont="true" applyBorder="true" applyAlignment="true" applyProtection="false">
      <alignment horizontal="center" vertical="center" textRotation="0" wrapText="true" indent="0" shrinkToFit="false"/>
      <protection locked="true" hidden="false"/>
    </xf>
    <xf numFmtId="164" fontId="7" fillId="6" borderId="2" xfId="0" applyFont="true" applyBorder="true" applyAlignment="true" applyProtection="false">
      <alignment horizontal="left" vertical="center" textRotation="0" wrapText="true" indent="0" shrinkToFit="false"/>
      <protection locked="true" hidden="false"/>
    </xf>
    <xf numFmtId="165" fontId="7" fillId="6" borderId="2" xfId="0" applyFont="true" applyBorder="true" applyAlignment="true" applyProtection="false">
      <alignment horizontal="left" vertical="center" textRotation="0" wrapText="true" indent="0" shrinkToFit="false"/>
      <protection locked="true" hidden="false"/>
    </xf>
    <xf numFmtId="166" fontId="8" fillId="6" borderId="2" xfId="0" applyFont="true" applyBorder="true" applyAlignment="true" applyProtection="false">
      <alignment horizontal="center" vertical="center" textRotation="0" wrapText="true" indent="0" shrinkToFit="false"/>
      <protection locked="true" hidden="false"/>
    </xf>
    <xf numFmtId="164" fontId="7" fillId="7" borderId="2" xfId="0" applyFont="true" applyBorder="true" applyAlignment="true" applyProtection="false">
      <alignment horizontal="center" vertical="center" textRotation="0" wrapText="true" indent="0" shrinkToFit="false"/>
      <protection locked="true" hidden="false"/>
    </xf>
    <xf numFmtId="164" fontId="7" fillId="7" borderId="2" xfId="0" applyFont="true" applyBorder="true" applyAlignment="true" applyProtection="false">
      <alignment horizontal="left" vertical="center" textRotation="0" wrapText="true" indent="0" shrinkToFit="false"/>
      <protection locked="true" hidden="false"/>
    </xf>
    <xf numFmtId="165" fontId="7" fillId="7" borderId="2" xfId="0" applyFont="true" applyBorder="true" applyAlignment="true" applyProtection="false">
      <alignment horizontal="left" vertical="center" textRotation="0" wrapText="true" indent="0" shrinkToFit="false"/>
      <protection locked="true" hidden="false"/>
    </xf>
    <xf numFmtId="166" fontId="8" fillId="7" borderId="2" xfId="0" applyFont="true" applyBorder="true" applyAlignment="true" applyProtection="false">
      <alignment horizontal="center" vertical="center" textRotation="0" wrapText="true" indent="0" shrinkToFit="false"/>
      <protection locked="true" hidden="false"/>
    </xf>
    <xf numFmtId="164" fontId="9" fillId="6" borderId="2" xfId="0" applyFont="true" applyBorder="true" applyAlignment="true" applyProtection="false">
      <alignment horizontal="center" vertical="center" textRotation="0" wrapText="true" indent="0" shrinkToFit="false"/>
      <protection locked="true" hidden="false"/>
    </xf>
    <xf numFmtId="164" fontId="0" fillId="6" borderId="2" xfId="0" applyFont="false" applyBorder="true" applyAlignment="true" applyProtection="false">
      <alignment horizontal="left" vertical="center" textRotation="0" wrapText="true" indent="0" shrinkToFit="false"/>
      <protection locked="true" hidden="false"/>
    </xf>
    <xf numFmtId="164" fontId="0" fillId="6" borderId="2" xfId="0" applyFont="false" applyBorder="true" applyAlignment="true" applyProtection="false">
      <alignment horizontal="center" vertical="center" textRotation="0" wrapText="true" indent="0" shrinkToFit="false"/>
      <protection locked="true" hidden="false"/>
    </xf>
    <xf numFmtId="164" fontId="9" fillId="7" borderId="2" xfId="0" applyFont="true" applyBorder="true" applyAlignment="true" applyProtection="false">
      <alignment horizontal="center" vertical="center" textRotation="0" wrapText="true" indent="0" shrinkToFit="false"/>
      <protection locked="true" hidden="false"/>
    </xf>
    <xf numFmtId="164" fontId="0" fillId="7" borderId="2" xfId="0" applyFont="false" applyBorder="true" applyAlignment="true" applyProtection="false">
      <alignment horizontal="left" vertical="center" textRotation="0" wrapText="true" indent="0" shrinkToFit="false"/>
      <protection locked="true" hidden="false"/>
    </xf>
    <xf numFmtId="164" fontId="0" fillId="7" borderId="2" xfId="0" applyFont="false" applyBorder="true" applyAlignment="true" applyProtection="false">
      <alignment horizontal="center" vertical="center" textRotation="0" wrapText="true" indent="0" shrinkToFit="false"/>
      <protection locked="true" hidden="false"/>
    </xf>
    <xf numFmtId="164" fontId="10" fillId="2" borderId="0" xfId="0" applyFont="true" applyBorder="true" applyAlignment="true" applyProtection="false">
      <alignment horizontal="center" vertical="center" textRotation="0" wrapText="true" indent="0" shrinkToFit="false"/>
      <protection locked="true" hidden="false"/>
    </xf>
    <xf numFmtId="164" fontId="11" fillId="8" borderId="2" xfId="0" applyFont="true" applyBorder="true" applyAlignment="true" applyProtection="false">
      <alignment horizontal="left" vertical="center" textRotation="0" wrapText="true" indent="0" shrinkToFit="false"/>
      <protection locked="true" hidden="false"/>
    </xf>
    <xf numFmtId="167" fontId="12" fillId="6" borderId="2" xfId="0" applyFont="true" applyBorder="true" applyAlignment="true" applyProtection="false">
      <alignment horizontal="center" vertical="center" textRotation="0" wrapText="true" indent="0" shrinkToFit="false"/>
      <protection locked="true" hidden="false"/>
    </xf>
    <xf numFmtId="164" fontId="11" fillId="9" borderId="2" xfId="0" applyFont="true" applyBorder="true" applyAlignment="true" applyProtection="false">
      <alignment horizontal="left" vertical="center" textRotation="0" wrapText="true" indent="0" shrinkToFit="false"/>
      <protection locked="true" hidden="false"/>
    </xf>
    <xf numFmtId="164" fontId="11" fillId="10" borderId="2" xfId="0" applyFont="true" applyBorder="true" applyAlignment="true" applyProtection="false">
      <alignment horizontal="left" vertical="center" textRotation="0" wrapText="true" indent="0" shrinkToFit="false"/>
      <protection locked="true" hidden="false"/>
    </xf>
    <xf numFmtId="164" fontId="8" fillId="11" borderId="2" xfId="0" applyFont="true" applyBorder="true" applyAlignment="true" applyProtection="false">
      <alignment horizontal="left" vertical="center" textRotation="0" wrapText="true" indent="0" shrinkToFit="false"/>
      <protection locked="true" hidden="false"/>
    </xf>
    <xf numFmtId="164" fontId="6" fillId="5" borderId="2" xfId="0" applyFont="true" applyBorder="true" applyAlignment="true" applyProtection="false">
      <alignment horizontal="left" vertical="center" textRotation="0" wrapText="true" indent="0" shrinkToFit="false"/>
      <protection locked="true" hidden="false"/>
    </xf>
    <xf numFmtId="167" fontId="13" fillId="5" borderId="2" xfId="0" applyFont="true" applyBorder="true" applyAlignment="true" applyProtection="false">
      <alignment horizontal="center" vertical="center" textRotation="0" wrapText="true" indent="0" shrinkToFit="false"/>
      <protection locked="true" hidden="false"/>
    </xf>
    <xf numFmtId="164" fontId="14" fillId="5" borderId="2" xfId="0" applyFont="true" applyBorder="true" applyAlignment="true" applyProtection="false">
      <alignment horizontal="left" vertical="center" textRotation="0" wrapText="true" indent="0" shrinkToFit="false"/>
      <protection locked="true" hidden="false"/>
    </xf>
    <xf numFmtId="164" fontId="10" fillId="3" borderId="0" xfId="0" applyFont="true" applyBorder="true" applyAlignment="true" applyProtection="false">
      <alignment horizontal="center" vertical="center" textRotation="0" wrapText="true" indent="0" shrinkToFit="false"/>
      <protection locked="true" hidden="false"/>
    </xf>
    <xf numFmtId="164" fontId="10" fillId="8" borderId="0" xfId="0" applyFont="true" applyBorder="true" applyAlignment="true" applyProtection="false">
      <alignment horizontal="center" vertical="center" textRotation="0" wrapText="true" indent="0" shrinkToFit="false"/>
      <protection locked="true" hidden="false"/>
    </xf>
    <xf numFmtId="166" fontId="12" fillId="6" borderId="2" xfId="0" applyFont="true" applyBorder="true" applyAlignment="true" applyProtection="false">
      <alignment horizontal="center" vertical="center" textRotation="0" wrapText="true" indent="0" shrinkToFit="false"/>
      <protection locked="true" hidden="false"/>
    </xf>
    <xf numFmtId="164" fontId="6" fillId="5" borderId="2" xfId="0" applyFont="true" applyBorder="true" applyAlignment="true" applyProtection="false">
      <alignment horizontal="center" vertical="center" textRotation="0" wrapText="true" indent="0" shrinkToFit="false"/>
      <protection locked="true" hidden="false"/>
    </xf>
    <xf numFmtId="164" fontId="15" fillId="12" borderId="2" xfId="0" applyFont="true" applyBorder="true" applyAlignment="true" applyProtection="false">
      <alignment horizontal="left" vertical="center" textRotation="0" wrapText="true" indent="0" shrinkToFit="false"/>
      <protection locked="true" hidden="false"/>
    </xf>
    <xf numFmtId="164" fontId="0" fillId="12" borderId="2" xfId="0" applyFont="false" applyBorder="true" applyAlignment="true" applyProtection="false">
      <alignment horizontal="center" vertical="center" textRotation="0" wrapText="true" indent="0" shrinkToFit="false"/>
      <protection locked="true" hidden="false"/>
    </xf>
    <xf numFmtId="164" fontId="15" fillId="7" borderId="2" xfId="0" applyFont="true" applyBorder="true" applyAlignment="true" applyProtection="false">
      <alignment horizontal="left" vertical="center" textRotation="0" wrapText="true" indent="0" shrinkToFit="false"/>
      <protection locked="true" hidden="false"/>
    </xf>
    <xf numFmtId="164" fontId="15" fillId="6" borderId="2" xfId="0" applyFont="true" applyBorder="true" applyAlignment="true" applyProtection="false">
      <alignment horizontal="left" vertical="center" textRotation="0" wrapText="true" indent="0" shrinkToFit="false"/>
      <protection locked="true" hidden="false"/>
    </xf>
    <xf numFmtId="164" fontId="16" fillId="2" borderId="0" xfId="0" applyFont="true" applyBorder="true" applyAlignment="true" applyProtection="false">
      <alignment horizontal="center" vertical="center" textRotation="0" wrapText="true" indent="0" shrinkToFit="false"/>
      <protection locked="true" hidden="false"/>
    </xf>
    <xf numFmtId="164" fontId="11" fillId="8" borderId="2" xfId="0" applyFont="true" applyBorder="true" applyAlignment="true" applyProtection="false">
      <alignment horizontal="center" vertical="center" textRotation="0" wrapText="true" indent="0" shrinkToFit="false"/>
      <protection locked="true" hidden="false"/>
    </xf>
    <xf numFmtId="164" fontId="11" fillId="10" borderId="2" xfId="0" applyFont="true" applyBorder="true" applyAlignment="true" applyProtection="false">
      <alignment horizontal="center" vertical="center" textRotation="0" wrapText="true" indent="0" shrinkToFit="false"/>
      <protection locked="true" hidden="false"/>
    </xf>
    <xf numFmtId="164" fontId="8" fillId="11" borderId="2" xfId="0" applyFont="true" applyBorder="true" applyAlignment="true" applyProtection="false">
      <alignment horizontal="center" vertical="center" textRotation="0" wrapText="true" indent="0" shrinkToFit="false"/>
      <protection locked="true" hidden="false"/>
    </xf>
    <xf numFmtId="164" fontId="11" fillId="9" borderId="2" xfId="0" applyFont="true" applyBorder="true" applyAlignment="true" applyProtection="false">
      <alignment horizontal="center" vertical="center" textRotation="0" wrapText="true" indent="0" shrinkToFit="false"/>
      <protection locked="true" hidden="false"/>
    </xf>
    <xf numFmtId="164" fontId="17" fillId="6" borderId="2" xfId="0" applyFont="true" applyBorder="true" applyAlignment="true" applyProtection="false">
      <alignment horizontal="center" vertical="center" textRotation="0" wrapText="true" indent="0" shrinkToFit="false"/>
      <protection locked="true" hidden="false"/>
    </xf>
    <xf numFmtId="164" fontId="18" fillId="6" borderId="2" xfId="0" applyFont="true" applyBorder="true" applyAlignment="true" applyProtection="false">
      <alignment horizontal="left" vertical="center" textRotation="0" wrapText="true" indent="0" shrinkToFit="false"/>
      <protection locked="true" hidden="false"/>
    </xf>
    <xf numFmtId="164" fontId="17" fillId="7" borderId="2" xfId="0" applyFont="true" applyBorder="true" applyAlignment="true" applyProtection="false">
      <alignment horizontal="center" vertical="center" textRotation="0" wrapText="true" indent="0" shrinkToFit="false"/>
      <protection locked="true" hidden="false"/>
    </xf>
    <xf numFmtId="164" fontId="18" fillId="7" borderId="2" xfId="0" applyFont="true" applyBorder="true" applyAlignment="true" applyProtection="false">
      <alignment horizontal="left" vertical="center" textRotation="0" wrapText="true" indent="0" shrinkToFit="false"/>
      <protection locked="true" hidden="false"/>
    </xf>
    <xf numFmtId="164" fontId="10" fillId="5" borderId="0" xfId="0" applyFont="true" applyBorder="false" applyAlignment="true" applyProtection="false">
      <alignment horizontal="center" vertical="center" textRotation="0" wrapText="true" indent="0" shrinkToFit="false"/>
      <protection locked="true" hidden="false"/>
    </xf>
    <xf numFmtId="164" fontId="6" fillId="3" borderId="0" xfId="0" applyFont="true" applyBorder="true" applyAlignment="true" applyProtection="false">
      <alignment horizontal="left" vertical="center" textRotation="0" wrapText="true" indent="0" shrinkToFit="false"/>
      <protection locked="true" hidden="false"/>
    </xf>
    <xf numFmtId="164" fontId="19" fillId="7" borderId="2" xfId="0" applyFont="true" applyBorder="true" applyAlignment="true" applyProtection="false">
      <alignment horizontal="center" vertical="center" textRotation="0" wrapText="true" indent="0" shrinkToFit="false"/>
      <protection locked="true" hidden="false"/>
    </xf>
    <xf numFmtId="164" fontId="20" fillId="7" borderId="2" xfId="0" applyFont="true" applyBorder="true" applyAlignment="true" applyProtection="false">
      <alignment horizontal="left" vertical="center" textRotation="0" wrapText="true" indent="0" shrinkToFit="false"/>
      <protection locked="true" hidden="false"/>
    </xf>
    <xf numFmtId="164" fontId="19" fillId="6" borderId="2" xfId="0" applyFont="true" applyBorder="true" applyAlignment="true" applyProtection="false">
      <alignment horizontal="center" vertical="center" textRotation="0" wrapText="true" indent="0" shrinkToFit="false"/>
      <protection locked="true" hidden="false"/>
    </xf>
    <xf numFmtId="164" fontId="20" fillId="6" borderId="2"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ont>
        <name val="Arial"/>
        <charset val="1"/>
        <family val="0"/>
        <b val="1"/>
        <color rgb="FFFFFFFF"/>
        <sz val="9"/>
      </font>
      <fill>
        <patternFill>
          <bgColor rgb="FFC00000"/>
        </patternFill>
      </fill>
    </dxf>
    <dxf>
      <font>
        <name val="Arial"/>
        <charset val="1"/>
        <family val="0"/>
        <b val="1"/>
        <color rgb="FFFFFFFF"/>
        <sz val="9"/>
      </font>
      <fill>
        <patternFill>
          <bgColor rgb="FFC55A11"/>
        </patternFill>
      </fill>
    </dxf>
    <dxf>
      <font>
        <name val="Arial"/>
        <charset val="1"/>
        <family val="0"/>
        <b val="1"/>
        <color rgb="FF000000"/>
        <sz val="9"/>
      </font>
      <fill>
        <patternFill>
          <bgColor rgb="FFFFD966"/>
        </patternFill>
      </fill>
    </dxf>
    <dxf>
      <font>
        <name val="Arial"/>
        <charset val="1"/>
        <family val="0"/>
        <b val="1"/>
        <color rgb="FFFFFFFF"/>
        <sz val="9"/>
      </font>
      <fill>
        <patternFill>
          <bgColor rgb="FF70AD47"/>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CCCCC"/>
      <rgbColor rgb="FF888888"/>
      <rgbColor rgb="FF9999FF"/>
      <rgbColor rgb="FF993366"/>
      <rgbColor rgb="FFFAFAFA"/>
      <rgbColor rgb="FFCCFFFF"/>
      <rgbColor rgb="FF660066"/>
      <rgbColor rgb="FFFF8080"/>
      <rgbColor rgb="FF185FA5"/>
      <rgbColor rgb="FFD6E4F0"/>
      <rgbColor rgb="FF000080"/>
      <rgbColor rgb="FFFF00FF"/>
      <rgbColor rgb="FFFFFF00"/>
      <rgbColor rgb="FF00FFFF"/>
      <rgbColor rgb="FF800080"/>
      <rgbColor rgb="FF800000"/>
      <rgbColor rgb="FF008080"/>
      <rgbColor rgb="FF0000FF"/>
      <rgbColor rgb="FF00CCFF"/>
      <rgbColor rgb="FFCCFFFF"/>
      <rgbColor rgb="FFCCFFCC"/>
      <rgbColor rgb="FFFCE4D6"/>
      <rgbColor rgb="FF99CCFF"/>
      <rgbColor rgb="FFFF99CC"/>
      <rgbColor rgb="FFCC99FF"/>
      <rgbColor rgb="FFFFD966"/>
      <rgbColor rgb="FF3366FF"/>
      <rgbColor rgb="FF33CCCC"/>
      <rgbColor rgb="FF99CC00"/>
      <rgbColor rgb="FFFFCC00"/>
      <rgbColor rgb="FFFF9900"/>
      <rgbColor rgb="FFC55A11"/>
      <rgbColor rgb="FF666699"/>
      <rgbColor rgb="FFAAAAAA"/>
      <rgbColor rgb="FF1F3763"/>
      <rgbColor rgb="FF70AD47"/>
      <rgbColor rgb="FF003300"/>
      <rgbColor rgb="FF333300"/>
      <rgbColor rgb="FF993300"/>
      <rgbColor rgb="FF993366"/>
      <rgbColor rgb="FF2F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3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8"/>
    <col collapsed="false" customWidth="true" hidden="false" outlineLevel="0" max="3" min="3" style="0" width="18"/>
    <col collapsed="false" customWidth="true" hidden="false" outlineLevel="0" max="5" min="4" style="0" width="14"/>
    <col collapsed="false" customWidth="true" hidden="false" outlineLevel="0" max="6" min="6" style="0" width="16"/>
    <col collapsed="false" customWidth="true" hidden="false" outlineLevel="0" max="7" min="7" style="0" width="24"/>
    <col collapsed="false" customWidth="true" hidden="false" outlineLevel="0" max="8" min="8" style="0" width="22"/>
    <col collapsed="false" customWidth="true" hidden="false" outlineLevel="0" max="11" min="9" style="0" width="14"/>
    <col collapsed="false" customWidth="true" hidden="false" outlineLevel="0" max="12" min="12" style="0" width="20"/>
    <col collapsed="false" customWidth="true" hidden="false" outlineLevel="0" max="14" min="13" style="0" width="16"/>
    <col collapsed="false" customWidth="true" hidden="false" outlineLevel="0" max="16" min="15" style="0" width="18"/>
    <col collapsed="false" customWidth="true" hidden="false" outlineLevel="0" max="17" min="17" style="0" width="22"/>
    <col collapsed="false" customWidth="true" hidden="false" outlineLevel="0" max="18" min="18" style="0" width="20"/>
    <col collapsed="false" customWidth="true" hidden="false" outlineLevel="0" max="19" min="19" style="0" width="28"/>
  </cols>
  <sheetData>
    <row r="1" customFormat="false" ht="30" hidden="false" customHeight="true" outlineLevel="0" collapsed="false">
      <c r="A1" s="1" t="s">
        <v>0</v>
      </c>
      <c r="B1" s="1"/>
      <c r="C1" s="1"/>
      <c r="D1" s="1"/>
      <c r="E1" s="1"/>
      <c r="F1" s="1"/>
      <c r="G1" s="1"/>
      <c r="H1" s="1"/>
      <c r="I1" s="1"/>
      <c r="J1" s="1"/>
      <c r="K1" s="1"/>
      <c r="L1" s="1"/>
      <c r="M1" s="1"/>
      <c r="N1" s="1"/>
      <c r="O1" s="1"/>
      <c r="P1" s="1"/>
      <c r="Q1" s="1"/>
      <c r="R1" s="1"/>
      <c r="S1" s="1"/>
    </row>
    <row r="2" customFormat="false" ht="18" hidden="false" customHeight="true" outlineLevel="0" collapsed="false">
      <c r="A2" s="2" t="s">
        <v>1</v>
      </c>
      <c r="B2" s="2"/>
      <c r="C2" s="2"/>
      <c r="D2" s="2"/>
      <c r="E2" s="2"/>
      <c r="F2" s="2"/>
      <c r="G2" s="2"/>
      <c r="H2" s="2"/>
      <c r="I2" s="2"/>
      <c r="J2" s="2"/>
      <c r="K2" s="2"/>
      <c r="L2" s="2"/>
      <c r="M2" s="2"/>
      <c r="N2" s="2"/>
      <c r="O2" s="2"/>
      <c r="P2" s="2"/>
      <c r="Q2" s="2"/>
      <c r="R2" s="2"/>
      <c r="S2" s="2"/>
    </row>
    <row r="3" customFormat="false" ht="6" hidden="false" customHeight="true" outlineLevel="0" collapsed="false">
      <c r="A3" s="3"/>
      <c r="B3" s="3"/>
      <c r="C3" s="3"/>
      <c r="D3" s="3"/>
      <c r="E3" s="3"/>
      <c r="F3" s="3"/>
      <c r="G3" s="3"/>
      <c r="H3" s="3"/>
      <c r="I3" s="3"/>
      <c r="J3" s="3"/>
      <c r="K3" s="3"/>
      <c r="L3" s="3"/>
      <c r="M3" s="3"/>
      <c r="N3" s="3"/>
      <c r="O3" s="3"/>
      <c r="P3" s="3"/>
      <c r="Q3" s="3"/>
      <c r="R3" s="3"/>
      <c r="S3" s="3"/>
    </row>
    <row r="4" customFormat="false" ht="21.75" hidden="false" customHeight="true" outlineLevel="0" collapsed="false">
      <c r="A4" s="4" t="s">
        <v>2</v>
      </c>
      <c r="B4" s="4"/>
      <c r="C4" s="4"/>
      <c r="D4" s="5" t="s">
        <v>3</v>
      </c>
      <c r="E4" s="5"/>
      <c r="F4" s="5"/>
      <c r="G4" s="6" t="s">
        <v>4</v>
      </c>
      <c r="H4" s="6"/>
      <c r="I4" s="6"/>
      <c r="J4" s="4" t="s">
        <v>5</v>
      </c>
      <c r="K4" s="4"/>
      <c r="L4" s="4"/>
      <c r="M4" s="5" t="s">
        <v>6</v>
      </c>
      <c r="N4" s="5"/>
      <c r="O4" s="5"/>
      <c r="P4" s="7" t="s">
        <v>7</v>
      </c>
      <c r="Q4" s="4" t="s">
        <v>8</v>
      </c>
      <c r="R4" s="4"/>
      <c r="S4" s="8" t="s">
        <v>9</v>
      </c>
    </row>
    <row r="5" customFormat="false" ht="42" hidden="false" customHeight="true" outlineLevel="0" collapsed="false">
      <c r="A5" s="9" t="s">
        <v>10</v>
      </c>
      <c r="B5" s="9" t="s">
        <v>11</v>
      </c>
      <c r="C5" s="9" t="s">
        <v>12</v>
      </c>
      <c r="D5" s="9" t="s">
        <v>13</v>
      </c>
      <c r="E5" s="9" t="s">
        <v>14</v>
      </c>
      <c r="F5" s="9" t="s">
        <v>15</v>
      </c>
      <c r="G5" s="9" t="s">
        <v>16</v>
      </c>
      <c r="H5" s="9" t="s">
        <v>17</v>
      </c>
      <c r="I5" s="9" t="s">
        <v>18</v>
      </c>
      <c r="J5" s="9" t="s">
        <v>19</v>
      </c>
      <c r="K5" s="9" t="s">
        <v>20</v>
      </c>
      <c r="L5" s="9" t="s">
        <v>21</v>
      </c>
      <c r="M5" s="9" t="s">
        <v>22</v>
      </c>
      <c r="N5" s="9" t="s">
        <v>23</v>
      </c>
      <c r="O5" s="9" t="s">
        <v>24</v>
      </c>
      <c r="P5" s="9" t="s">
        <v>25</v>
      </c>
      <c r="Q5" s="9" t="s">
        <v>26</v>
      </c>
      <c r="R5" s="9" t="s">
        <v>27</v>
      </c>
      <c r="S5" s="9" t="s">
        <v>28</v>
      </c>
    </row>
    <row r="6" customFormat="false" ht="22.35" hidden="false" customHeight="false" outlineLevel="0" collapsed="false">
      <c r="A6" s="10" t="s">
        <v>29</v>
      </c>
      <c r="B6" s="11" t="s">
        <v>30</v>
      </c>
      <c r="C6" s="11" t="s">
        <v>31</v>
      </c>
      <c r="D6" s="10" t="s">
        <v>32</v>
      </c>
      <c r="E6" s="10" t="s">
        <v>33</v>
      </c>
      <c r="F6" s="11" t="s">
        <v>34</v>
      </c>
      <c r="G6" s="11" t="s">
        <v>35</v>
      </c>
      <c r="H6" s="11" t="s">
        <v>36</v>
      </c>
      <c r="I6" s="10" t="s">
        <v>37</v>
      </c>
      <c r="J6" s="10" t="n">
        <v>2</v>
      </c>
      <c r="K6" s="10" t="n">
        <v>1</v>
      </c>
      <c r="L6" s="12" t="s">
        <v>38</v>
      </c>
      <c r="M6" s="10" t="n">
        <v>4</v>
      </c>
      <c r="N6" s="10" t="n">
        <v>4</v>
      </c>
      <c r="O6" s="10" t="n">
        <v>3</v>
      </c>
      <c r="P6" s="13" t="n">
        <f aca="false">IFERROR(ROUND((M6+N6+O6)/3,1),"")</f>
        <v>3.7</v>
      </c>
      <c r="Q6" s="11" t="s">
        <v>39</v>
      </c>
      <c r="R6" s="11" t="s">
        <v>40</v>
      </c>
    </row>
    <row r="7" customFormat="false" ht="22.35" hidden="false" customHeight="false" outlineLevel="0" collapsed="false">
      <c r="A7" s="14" t="s">
        <v>41</v>
      </c>
      <c r="B7" s="15" t="s">
        <v>42</v>
      </c>
      <c r="C7" s="15" t="s">
        <v>43</v>
      </c>
      <c r="D7" s="14" t="s">
        <v>44</v>
      </c>
      <c r="E7" s="14" t="s">
        <v>33</v>
      </c>
      <c r="F7" s="15" t="s">
        <v>34</v>
      </c>
      <c r="G7" s="15" t="s">
        <v>45</v>
      </c>
      <c r="H7" s="15" t="s">
        <v>46</v>
      </c>
      <c r="I7" s="14" t="s">
        <v>37</v>
      </c>
      <c r="J7" s="14" t="n">
        <v>4</v>
      </c>
      <c r="K7" s="14" t="n">
        <v>4</v>
      </c>
      <c r="L7" s="16" t="s">
        <v>38</v>
      </c>
      <c r="M7" s="14" t="n">
        <v>3</v>
      </c>
      <c r="N7" s="14" t="n">
        <v>2</v>
      </c>
      <c r="O7" s="14" t="n">
        <v>3</v>
      </c>
      <c r="P7" s="17" t="n">
        <f aca="false">IFERROR(ROUND((M7+N7+O7)/3,1),"")</f>
        <v>2.7</v>
      </c>
      <c r="Q7" s="15" t="s">
        <v>47</v>
      </c>
      <c r="R7" s="15"/>
    </row>
    <row r="8" customFormat="false" ht="22.35" hidden="false" customHeight="false" outlineLevel="0" collapsed="false">
      <c r="A8" s="10" t="s">
        <v>48</v>
      </c>
      <c r="B8" s="11" t="s">
        <v>49</v>
      </c>
      <c r="C8" s="11" t="s">
        <v>50</v>
      </c>
      <c r="D8" s="10" t="s">
        <v>32</v>
      </c>
      <c r="E8" s="10" t="s">
        <v>51</v>
      </c>
      <c r="F8" s="11" t="s">
        <v>34</v>
      </c>
      <c r="G8" s="11" t="s">
        <v>52</v>
      </c>
      <c r="H8" s="11" t="s">
        <v>53</v>
      </c>
      <c r="I8" s="10" t="s">
        <v>37</v>
      </c>
      <c r="J8" s="10" t="n">
        <v>2</v>
      </c>
      <c r="K8" s="10" t="n">
        <v>2</v>
      </c>
      <c r="L8" s="12" t="s">
        <v>54</v>
      </c>
      <c r="M8" s="10" t="n">
        <v>4</v>
      </c>
      <c r="N8" s="10" t="n">
        <v>4</v>
      </c>
      <c r="O8" s="10" t="n">
        <v>4</v>
      </c>
      <c r="P8" s="13" t="n">
        <f aca="false">IFERROR(ROUND((M8+N8+O8)/3,1),"")</f>
        <v>4</v>
      </c>
      <c r="Q8" s="11" t="s">
        <v>55</v>
      </c>
      <c r="R8" s="11" t="s">
        <v>56</v>
      </c>
    </row>
    <row r="9" customFormat="false" ht="22.35" hidden="false" customHeight="false" outlineLevel="0" collapsed="false">
      <c r="A9" s="14" t="s">
        <v>57</v>
      </c>
      <c r="B9" s="15" t="s">
        <v>58</v>
      </c>
      <c r="C9" s="15" t="s">
        <v>53</v>
      </c>
      <c r="D9" s="14" t="s">
        <v>32</v>
      </c>
      <c r="E9" s="14" t="s">
        <v>33</v>
      </c>
      <c r="F9" s="15" t="s">
        <v>34</v>
      </c>
      <c r="G9" s="15" t="s">
        <v>59</v>
      </c>
      <c r="H9" s="15" t="s">
        <v>36</v>
      </c>
      <c r="I9" s="14" t="s">
        <v>37</v>
      </c>
      <c r="J9" s="14" t="n">
        <v>1</v>
      </c>
      <c r="K9" s="14" t="n">
        <v>1</v>
      </c>
      <c r="L9" s="16" t="s">
        <v>38</v>
      </c>
      <c r="M9" s="14" t="n">
        <v>4</v>
      </c>
      <c r="N9" s="14" t="n">
        <v>4</v>
      </c>
      <c r="O9" s="14" t="n">
        <v>3</v>
      </c>
      <c r="P9" s="17" t="n">
        <f aca="false">IFERROR(ROUND((M9+N9+O9)/3,1),"")</f>
        <v>3.7</v>
      </c>
      <c r="Q9" s="15" t="s">
        <v>60</v>
      </c>
      <c r="R9" s="15"/>
    </row>
    <row r="10" customFormat="false" ht="22.35" hidden="false" customHeight="false" outlineLevel="0" collapsed="false">
      <c r="A10" s="10" t="s">
        <v>61</v>
      </c>
      <c r="B10" s="11" t="s">
        <v>62</v>
      </c>
      <c r="C10" s="11" t="s">
        <v>63</v>
      </c>
      <c r="D10" s="10" t="s">
        <v>44</v>
      </c>
      <c r="E10" s="10" t="s">
        <v>33</v>
      </c>
      <c r="F10" s="11" t="s">
        <v>34</v>
      </c>
      <c r="G10" s="11" t="s">
        <v>45</v>
      </c>
      <c r="H10" s="11" t="s">
        <v>64</v>
      </c>
      <c r="I10" s="10" t="s">
        <v>37</v>
      </c>
      <c r="J10" s="10" t="n">
        <v>4</v>
      </c>
      <c r="K10" s="10" t="n">
        <v>8</v>
      </c>
      <c r="L10" s="12" t="s">
        <v>54</v>
      </c>
      <c r="M10" s="10" t="n">
        <v>3</v>
      </c>
      <c r="N10" s="10" t="n">
        <v>3</v>
      </c>
      <c r="O10" s="10" t="n">
        <v>2</v>
      </c>
      <c r="P10" s="13" t="n">
        <f aca="false">IFERROR(ROUND((M10+N10+O10)/3,1),"")</f>
        <v>2.7</v>
      </c>
      <c r="Q10" s="11" t="s">
        <v>47</v>
      </c>
      <c r="R10" s="11"/>
    </row>
    <row r="11" customFormat="false" ht="22.35" hidden="false" customHeight="false" outlineLevel="0" collapsed="false">
      <c r="A11" s="14" t="s">
        <v>65</v>
      </c>
      <c r="B11" s="15" t="s">
        <v>66</v>
      </c>
      <c r="C11" s="15" t="s">
        <v>67</v>
      </c>
      <c r="D11" s="14" t="s">
        <v>32</v>
      </c>
      <c r="E11" s="14" t="s">
        <v>33</v>
      </c>
      <c r="F11" s="15" t="s">
        <v>68</v>
      </c>
      <c r="G11" s="15" t="s">
        <v>69</v>
      </c>
      <c r="H11" s="15" t="s">
        <v>70</v>
      </c>
      <c r="I11" s="14" t="s">
        <v>37</v>
      </c>
      <c r="J11" s="14" t="n">
        <v>4</v>
      </c>
      <c r="K11" s="14" t="n">
        <v>4</v>
      </c>
      <c r="L11" s="16" t="s">
        <v>71</v>
      </c>
      <c r="M11" s="14" t="n">
        <v>4</v>
      </c>
      <c r="N11" s="14" t="n">
        <v>4</v>
      </c>
      <c r="O11" s="14" t="n">
        <v>4</v>
      </c>
      <c r="P11" s="17" t="n">
        <f aca="false">IFERROR(ROUND((M11+N11+O11)/3,1),"")</f>
        <v>4</v>
      </c>
      <c r="Q11" s="15" t="s">
        <v>72</v>
      </c>
      <c r="R11" s="15" t="s">
        <v>73</v>
      </c>
    </row>
    <row r="12" customFormat="false" ht="22.35" hidden="false" customHeight="false" outlineLevel="0" collapsed="false">
      <c r="A12" s="10" t="s">
        <v>74</v>
      </c>
      <c r="B12" s="11" t="s">
        <v>75</v>
      </c>
      <c r="C12" s="11" t="s">
        <v>76</v>
      </c>
      <c r="D12" s="10" t="s">
        <v>77</v>
      </c>
      <c r="E12" s="10" t="s">
        <v>33</v>
      </c>
      <c r="F12" s="11" t="s">
        <v>34</v>
      </c>
      <c r="G12" s="11" t="s">
        <v>78</v>
      </c>
      <c r="H12" s="11" t="s">
        <v>79</v>
      </c>
      <c r="I12" s="10" t="s">
        <v>37</v>
      </c>
      <c r="J12" s="10" t="n">
        <v>8</v>
      </c>
      <c r="K12" s="10" t="n">
        <v>24</v>
      </c>
      <c r="L12" s="12" t="s">
        <v>80</v>
      </c>
      <c r="M12" s="10" t="n">
        <v>2</v>
      </c>
      <c r="N12" s="10" t="n">
        <v>2</v>
      </c>
      <c r="O12" s="10" t="n">
        <v>2</v>
      </c>
      <c r="P12" s="13" t="n">
        <f aca="false">IFERROR(ROUND((M12+N12+O12)/3,1),"")</f>
        <v>2</v>
      </c>
      <c r="Q12" s="11" t="s">
        <v>81</v>
      </c>
      <c r="R12" s="11"/>
    </row>
    <row r="13" customFormat="false" ht="22.35" hidden="false" customHeight="false" outlineLevel="0" collapsed="false">
      <c r="A13" s="14" t="s">
        <v>82</v>
      </c>
      <c r="B13" s="15" t="s">
        <v>83</v>
      </c>
      <c r="C13" s="15" t="s">
        <v>84</v>
      </c>
      <c r="D13" s="14" t="s">
        <v>44</v>
      </c>
      <c r="E13" s="14" t="s">
        <v>51</v>
      </c>
      <c r="F13" s="15" t="s">
        <v>34</v>
      </c>
      <c r="G13" s="15" t="s">
        <v>85</v>
      </c>
      <c r="H13" s="15" t="s">
        <v>86</v>
      </c>
      <c r="I13" s="14" t="s">
        <v>37</v>
      </c>
      <c r="J13" s="14" t="n">
        <v>4</v>
      </c>
      <c r="K13" s="14" t="n">
        <v>4</v>
      </c>
      <c r="L13" s="16" t="s">
        <v>38</v>
      </c>
      <c r="M13" s="14" t="n">
        <v>3</v>
      </c>
      <c r="N13" s="14" t="n">
        <v>2</v>
      </c>
      <c r="O13" s="14" t="n">
        <v>2</v>
      </c>
      <c r="P13" s="17" t="n">
        <f aca="false">IFERROR(ROUND((M13+N13+O13)/3,1),"")</f>
        <v>2.3</v>
      </c>
      <c r="Q13" s="15" t="s">
        <v>47</v>
      </c>
      <c r="R13" s="15"/>
    </row>
    <row r="14" customFormat="false" ht="22.35" hidden="false" customHeight="false" outlineLevel="0" collapsed="false">
      <c r="A14" s="10" t="s">
        <v>87</v>
      </c>
      <c r="B14" s="11" t="s">
        <v>88</v>
      </c>
      <c r="C14" s="11" t="s">
        <v>67</v>
      </c>
      <c r="D14" s="10" t="s">
        <v>77</v>
      </c>
      <c r="E14" s="10" t="s">
        <v>89</v>
      </c>
      <c r="F14" s="11" t="s">
        <v>34</v>
      </c>
      <c r="G14" s="11" t="s">
        <v>90</v>
      </c>
      <c r="H14" s="11" t="s">
        <v>91</v>
      </c>
      <c r="I14" s="10" t="s">
        <v>37</v>
      </c>
      <c r="J14" s="10" t="n">
        <v>8</v>
      </c>
      <c r="K14" s="10" t="n">
        <v>24</v>
      </c>
      <c r="L14" s="12" t="s">
        <v>92</v>
      </c>
      <c r="M14" s="10" t="n">
        <v>2</v>
      </c>
      <c r="N14" s="10" t="n">
        <v>1</v>
      </c>
      <c r="O14" s="10" t="n">
        <v>1</v>
      </c>
      <c r="P14" s="13" t="n">
        <f aca="false">IFERROR(ROUND((M14+N14+O14)/3,1),"")</f>
        <v>1.3</v>
      </c>
      <c r="Q14" s="11" t="s">
        <v>93</v>
      </c>
      <c r="R14" s="11"/>
    </row>
    <row r="15" customFormat="false" ht="22.35" hidden="false" customHeight="false" outlineLevel="0" collapsed="false">
      <c r="A15" s="14" t="s">
        <v>94</v>
      </c>
      <c r="B15" s="15" t="s">
        <v>95</v>
      </c>
      <c r="C15" s="15" t="s">
        <v>96</v>
      </c>
      <c r="D15" s="14" t="s">
        <v>44</v>
      </c>
      <c r="E15" s="14" t="s">
        <v>97</v>
      </c>
      <c r="F15" s="15" t="s">
        <v>34</v>
      </c>
      <c r="G15" s="15" t="s">
        <v>52</v>
      </c>
      <c r="H15" s="15" t="s">
        <v>98</v>
      </c>
      <c r="I15" s="14" t="s">
        <v>37</v>
      </c>
      <c r="J15" s="14" t="n">
        <v>4</v>
      </c>
      <c r="K15" s="14" t="n">
        <v>8</v>
      </c>
      <c r="L15" s="16" t="s">
        <v>71</v>
      </c>
      <c r="M15" s="14" t="n">
        <v>3</v>
      </c>
      <c r="N15" s="14" t="n">
        <v>2</v>
      </c>
      <c r="O15" s="14" t="n">
        <v>2</v>
      </c>
      <c r="P15" s="17" t="n">
        <f aca="false">IFERROR(ROUND((M15+N15+O15)/3,1),"")</f>
        <v>2.3</v>
      </c>
      <c r="Q15" s="15" t="s">
        <v>99</v>
      </c>
      <c r="R15" s="15" t="s">
        <v>100</v>
      </c>
    </row>
    <row r="16" customFormat="false" ht="22.35" hidden="false" customHeight="false" outlineLevel="0" collapsed="false">
      <c r="A16" s="18" t="s">
        <v>101</v>
      </c>
      <c r="B16" s="19"/>
      <c r="C16" s="19"/>
      <c r="D16" s="20"/>
      <c r="E16" s="20"/>
      <c r="F16" s="19"/>
      <c r="G16" s="19"/>
      <c r="H16" s="19"/>
      <c r="I16" s="10"/>
      <c r="J16" s="20"/>
      <c r="K16" s="20"/>
      <c r="L16" s="19"/>
      <c r="M16" s="20"/>
      <c r="N16" s="20"/>
      <c r="O16" s="20"/>
      <c r="P16" s="13" t="n">
        <f aca="false">IFERROR(ROUND((M16+N16+O16)/3,1),"")</f>
        <v>0</v>
      </c>
      <c r="Q16" s="19"/>
      <c r="R16" s="19"/>
      <c r="S16" s="19"/>
    </row>
    <row r="17" customFormat="false" ht="22.35" hidden="false" customHeight="false" outlineLevel="0" collapsed="false">
      <c r="A17" s="21" t="s">
        <v>102</v>
      </c>
      <c r="B17" s="22"/>
      <c r="C17" s="22"/>
      <c r="D17" s="23"/>
      <c r="E17" s="23"/>
      <c r="F17" s="22"/>
      <c r="G17" s="22"/>
      <c r="H17" s="22"/>
      <c r="I17" s="14"/>
      <c r="J17" s="23"/>
      <c r="K17" s="23"/>
      <c r="L17" s="22"/>
      <c r="M17" s="23"/>
      <c r="N17" s="23"/>
      <c r="O17" s="23"/>
      <c r="P17" s="17" t="n">
        <f aca="false">IFERROR(ROUND((M17+N17+O17)/3,1),"")</f>
        <v>0</v>
      </c>
      <c r="Q17" s="22"/>
      <c r="R17" s="22"/>
      <c r="S17" s="22"/>
    </row>
    <row r="18" customFormat="false" ht="22.35" hidden="false" customHeight="false" outlineLevel="0" collapsed="false">
      <c r="A18" s="18" t="s">
        <v>103</v>
      </c>
      <c r="B18" s="19"/>
      <c r="C18" s="19"/>
      <c r="D18" s="20"/>
      <c r="E18" s="20"/>
      <c r="F18" s="19"/>
      <c r="G18" s="19"/>
      <c r="H18" s="19"/>
      <c r="I18" s="10"/>
      <c r="J18" s="20"/>
      <c r="K18" s="20"/>
      <c r="L18" s="19"/>
      <c r="M18" s="20"/>
      <c r="N18" s="20"/>
      <c r="O18" s="20"/>
      <c r="P18" s="13" t="n">
        <f aca="false">IFERROR(ROUND((M18+N18+O18)/3,1),"")</f>
        <v>0</v>
      </c>
      <c r="Q18" s="19"/>
      <c r="R18" s="19"/>
      <c r="S18" s="19"/>
    </row>
    <row r="19" customFormat="false" ht="22.35" hidden="false" customHeight="false" outlineLevel="0" collapsed="false">
      <c r="A19" s="21" t="s">
        <v>104</v>
      </c>
      <c r="B19" s="22"/>
      <c r="C19" s="22"/>
      <c r="D19" s="23"/>
      <c r="E19" s="23"/>
      <c r="F19" s="22"/>
      <c r="G19" s="22"/>
      <c r="H19" s="22"/>
      <c r="I19" s="14"/>
      <c r="J19" s="23"/>
      <c r="K19" s="23"/>
      <c r="L19" s="22"/>
      <c r="M19" s="23"/>
      <c r="N19" s="23"/>
      <c r="O19" s="23"/>
      <c r="P19" s="17" t="n">
        <f aca="false">IFERROR(ROUND((M19+N19+O19)/3,1),"")</f>
        <v>0</v>
      </c>
      <c r="Q19" s="22"/>
      <c r="R19" s="22"/>
      <c r="S19" s="22"/>
    </row>
    <row r="20" customFormat="false" ht="22.35" hidden="false" customHeight="false" outlineLevel="0" collapsed="false">
      <c r="A20" s="18" t="s">
        <v>105</v>
      </c>
      <c r="B20" s="19"/>
      <c r="C20" s="19"/>
      <c r="D20" s="20"/>
      <c r="E20" s="20"/>
      <c r="F20" s="19"/>
      <c r="G20" s="19"/>
      <c r="H20" s="19"/>
      <c r="I20" s="10"/>
      <c r="J20" s="20"/>
      <c r="K20" s="20"/>
      <c r="L20" s="19"/>
      <c r="M20" s="20"/>
      <c r="N20" s="20"/>
      <c r="O20" s="20"/>
      <c r="P20" s="13" t="n">
        <f aca="false">IFERROR(ROUND((M20+N20+O20)/3,1),"")</f>
        <v>0</v>
      </c>
      <c r="Q20" s="19"/>
      <c r="R20" s="19"/>
      <c r="S20" s="19"/>
    </row>
    <row r="21" customFormat="false" ht="22.35" hidden="false" customHeight="false" outlineLevel="0" collapsed="false">
      <c r="A21" s="21" t="s">
        <v>106</v>
      </c>
      <c r="B21" s="22"/>
      <c r="C21" s="22"/>
      <c r="D21" s="23"/>
      <c r="E21" s="23"/>
      <c r="F21" s="22"/>
      <c r="G21" s="22"/>
      <c r="H21" s="22"/>
      <c r="I21" s="14"/>
      <c r="J21" s="23"/>
      <c r="K21" s="23"/>
      <c r="L21" s="22"/>
      <c r="M21" s="23"/>
      <c r="N21" s="23"/>
      <c r="O21" s="23"/>
      <c r="P21" s="17" t="n">
        <f aca="false">IFERROR(ROUND((M21+N21+O21)/3,1),"")</f>
        <v>0</v>
      </c>
      <c r="Q21" s="22"/>
      <c r="R21" s="22"/>
      <c r="S21" s="22"/>
    </row>
    <row r="22" customFormat="false" ht="22.35" hidden="false" customHeight="false" outlineLevel="0" collapsed="false">
      <c r="A22" s="18" t="s">
        <v>107</v>
      </c>
      <c r="B22" s="19"/>
      <c r="C22" s="19"/>
      <c r="D22" s="20"/>
      <c r="E22" s="20"/>
      <c r="F22" s="19"/>
      <c r="G22" s="19"/>
      <c r="H22" s="19"/>
      <c r="I22" s="10"/>
      <c r="J22" s="20"/>
      <c r="K22" s="20"/>
      <c r="L22" s="19"/>
      <c r="M22" s="20"/>
      <c r="N22" s="20"/>
      <c r="O22" s="20"/>
      <c r="P22" s="13" t="n">
        <f aca="false">IFERROR(ROUND((M22+N22+O22)/3,1),"")</f>
        <v>0</v>
      </c>
      <c r="Q22" s="19"/>
      <c r="R22" s="19"/>
      <c r="S22" s="19"/>
    </row>
    <row r="23" customFormat="false" ht="22.35" hidden="false" customHeight="false" outlineLevel="0" collapsed="false">
      <c r="A23" s="21" t="s">
        <v>108</v>
      </c>
      <c r="B23" s="22"/>
      <c r="C23" s="22"/>
      <c r="D23" s="23"/>
      <c r="E23" s="23"/>
      <c r="F23" s="22"/>
      <c r="G23" s="22"/>
      <c r="H23" s="22"/>
      <c r="I23" s="14"/>
      <c r="J23" s="23"/>
      <c r="K23" s="23"/>
      <c r="L23" s="22"/>
      <c r="M23" s="23"/>
      <c r="N23" s="23"/>
      <c r="O23" s="23"/>
      <c r="P23" s="17" t="n">
        <f aca="false">IFERROR(ROUND((M23+N23+O23)/3,1),"")</f>
        <v>0</v>
      </c>
      <c r="Q23" s="22"/>
      <c r="R23" s="22"/>
      <c r="S23" s="22"/>
    </row>
    <row r="24" customFormat="false" ht="22.35" hidden="false" customHeight="false" outlineLevel="0" collapsed="false">
      <c r="A24" s="18" t="s">
        <v>109</v>
      </c>
      <c r="B24" s="19"/>
      <c r="C24" s="19"/>
      <c r="D24" s="20"/>
      <c r="E24" s="20"/>
      <c r="F24" s="19"/>
      <c r="G24" s="19"/>
      <c r="H24" s="19"/>
      <c r="I24" s="10"/>
      <c r="J24" s="20"/>
      <c r="K24" s="20"/>
      <c r="L24" s="19"/>
      <c r="M24" s="20"/>
      <c r="N24" s="20"/>
      <c r="O24" s="20"/>
      <c r="P24" s="13" t="n">
        <f aca="false">IFERROR(ROUND((M24+N24+O24)/3,1),"")</f>
        <v>0</v>
      </c>
      <c r="Q24" s="19"/>
      <c r="R24" s="19"/>
      <c r="S24" s="19"/>
    </row>
    <row r="25" customFormat="false" ht="22.35" hidden="false" customHeight="false" outlineLevel="0" collapsed="false">
      <c r="A25" s="21" t="s">
        <v>110</v>
      </c>
      <c r="B25" s="22"/>
      <c r="C25" s="22"/>
      <c r="D25" s="23"/>
      <c r="E25" s="23"/>
      <c r="F25" s="22"/>
      <c r="G25" s="22"/>
      <c r="H25" s="22"/>
      <c r="I25" s="14"/>
      <c r="J25" s="23"/>
      <c r="K25" s="23"/>
      <c r="L25" s="22"/>
      <c r="M25" s="23"/>
      <c r="N25" s="23"/>
      <c r="O25" s="23"/>
      <c r="P25" s="17" t="n">
        <f aca="false">IFERROR(ROUND((M25+N25+O25)/3,1),"")</f>
        <v>0</v>
      </c>
      <c r="Q25" s="22"/>
      <c r="R25" s="22"/>
      <c r="S25" s="22"/>
    </row>
    <row r="26" customFormat="false" ht="22.35" hidden="false" customHeight="false" outlineLevel="0" collapsed="false">
      <c r="A26" s="18" t="s">
        <v>111</v>
      </c>
      <c r="B26" s="19"/>
      <c r="C26" s="19"/>
      <c r="D26" s="20"/>
      <c r="E26" s="20"/>
      <c r="F26" s="19"/>
      <c r="G26" s="19"/>
      <c r="H26" s="19"/>
      <c r="I26" s="10"/>
      <c r="J26" s="20"/>
      <c r="K26" s="20"/>
      <c r="L26" s="19"/>
      <c r="M26" s="20"/>
      <c r="N26" s="20"/>
      <c r="O26" s="20"/>
      <c r="P26" s="13" t="n">
        <f aca="false">IFERROR(ROUND((M26+N26+O26)/3,1),"")</f>
        <v>0</v>
      </c>
      <c r="Q26" s="19"/>
      <c r="R26" s="19"/>
      <c r="S26" s="19"/>
    </row>
    <row r="27" customFormat="false" ht="22.35" hidden="false" customHeight="false" outlineLevel="0" collapsed="false">
      <c r="A27" s="21" t="s">
        <v>112</v>
      </c>
      <c r="B27" s="22"/>
      <c r="C27" s="22"/>
      <c r="D27" s="23"/>
      <c r="E27" s="23"/>
      <c r="F27" s="22"/>
      <c r="G27" s="22"/>
      <c r="H27" s="22"/>
      <c r="I27" s="14"/>
      <c r="J27" s="23"/>
      <c r="K27" s="23"/>
      <c r="L27" s="22"/>
      <c r="M27" s="23"/>
      <c r="N27" s="23"/>
      <c r="O27" s="23"/>
      <c r="P27" s="17" t="n">
        <f aca="false">IFERROR(ROUND((M27+N27+O27)/3,1),"")</f>
        <v>0</v>
      </c>
      <c r="Q27" s="22"/>
      <c r="R27" s="22"/>
      <c r="S27" s="22"/>
    </row>
    <row r="28" customFormat="false" ht="22.35" hidden="false" customHeight="false" outlineLevel="0" collapsed="false">
      <c r="A28" s="18" t="s">
        <v>113</v>
      </c>
      <c r="B28" s="19"/>
      <c r="C28" s="19"/>
      <c r="D28" s="20"/>
      <c r="E28" s="20"/>
      <c r="F28" s="19"/>
      <c r="G28" s="19"/>
      <c r="H28" s="19"/>
      <c r="I28" s="10"/>
      <c r="J28" s="20"/>
      <c r="K28" s="20"/>
      <c r="L28" s="19"/>
      <c r="M28" s="20"/>
      <c r="N28" s="20"/>
      <c r="O28" s="20"/>
      <c r="P28" s="13" t="n">
        <f aca="false">IFERROR(ROUND((M28+N28+O28)/3,1),"")</f>
        <v>0</v>
      </c>
      <c r="Q28" s="19"/>
      <c r="R28" s="19"/>
      <c r="S28" s="19"/>
    </row>
    <row r="29" customFormat="false" ht="22.35" hidden="false" customHeight="false" outlineLevel="0" collapsed="false">
      <c r="A29" s="21" t="s">
        <v>114</v>
      </c>
      <c r="B29" s="22"/>
      <c r="C29" s="22"/>
      <c r="D29" s="23"/>
      <c r="E29" s="23"/>
      <c r="F29" s="22"/>
      <c r="G29" s="22"/>
      <c r="H29" s="22"/>
      <c r="I29" s="14"/>
      <c r="J29" s="23"/>
      <c r="K29" s="23"/>
      <c r="L29" s="22"/>
      <c r="M29" s="23"/>
      <c r="N29" s="23"/>
      <c r="O29" s="23"/>
      <c r="P29" s="17" t="n">
        <f aca="false">IFERROR(ROUND((M29+N29+O29)/3,1),"")</f>
        <v>0</v>
      </c>
      <c r="Q29" s="22"/>
      <c r="R29" s="22"/>
      <c r="S29" s="22"/>
    </row>
    <row r="30" customFormat="false" ht="22.35" hidden="false" customHeight="false" outlineLevel="0" collapsed="false">
      <c r="A30" s="18" t="s">
        <v>115</v>
      </c>
      <c r="B30" s="19"/>
      <c r="C30" s="19"/>
      <c r="D30" s="20"/>
      <c r="E30" s="20"/>
      <c r="F30" s="19"/>
      <c r="G30" s="19"/>
      <c r="H30" s="19"/>
      <c r="I30" s="10"/>
      <c r="J30" s="20"/>
      <c r="K30" s="20"/>
      <c r="L30" s="19"/>
      <c r="M30" s="20"/>
      <c r="N30" s="20"/>
      <c r="O30" s="20"/>
      <c r="P30" s="13" t="n">
        <f aca="false">IFERROR(ROUND((M30+N30+O30)/3,1),"")</f>
        <v>0</v>
      </c>
      <c r="Q30" s="19"/>
      <c r="R30" s="19"/>
      <c r="S30" s="19"/>
    </row>
    <row r="31" customFormat="false" ht="22.35" hidden="false" customHeight="false" outlineLevel="0" collapsed="false">
      <c r="A31" s="21" t="s">
        <v>116</v>
      </c>
      <c r="B31" s="22"/>
      <c r="C31" s="22"/>
      <c r="D31" s="23"/>
      <c r="E31" s="23"/>
      <c r="F31" s="22"/>
      <c r="G31" s="22"/>
      <c r="H31" s="22"/>
      <c r="I31" s="14"/>
      <c r="J31" s="23"/>
      <c r="K31" s="23"/>
      <c r="L31" s="22"/>
      <c r="M31" s="23"/>
      <c r="N31" s="23"/>
      <c r="O31" s="23"/>
      <c r="P31" s="17" t="n">
        <f aca="false">IFERROR(ROUND((M31+N31+O31)/3,1),"")</f>
        <v>0</v>
      </c>
      <c r="Q31" s="22"/>
      <c r="R31" s="22"/>
      <c r="S31" s="22"/>
    </row>
    <row r="32" customFormat="false" ht="22.35" hidden="false" customHeight="false" outlineLevel="0" collapsed="false">
      <c r="A32" s="18" t="s">
        <v>117</v>
      </c>
      <c r="B32" s="19"/>
      <c r="C32" s="19"/>
      <c r="D32" s="20"/>
      <c r="E32" s="20"/>
      <c r="F32" s="19"/>
      <c r="G32" s="19"/>
      <c r="H32" s="19"/>
      <c r="I32" s="10"/>
      <c r="J32" s="20"/>
      <c r="K32" s="20"/>
      <c r="L32" s="19"/>
      <c r="M32" s="20"/>
      <c r="N32" s="20"/>
      <c r="O32" s="20"/>
      <c r="P32" s="13" t="n">
        <f aca="false">IFERROR(ROUND((M32+N32+O32)/3,1),"")</f>
        <v>0</v>
      </c>
      <c r="Q32" s="19"/>
      <c r="R32" s="19"/>
      <c r="S32" s="19"/>
    </row>
    <row r="33" customFormat="false" ht="22.35" hidden="false" customHeight="false" outlineLevel="0" collapsed="false">
      <c r="A33" s="21" t="s">
        <v>118</v>
      </c>
      <c r="B33" s="22"/>
      <c r="C33" s="22"/>
      <c r="D33" s="23"/>
      <c r="E33" s="23"/>
      <c r="F33" s="22"/>
      <c r="G33" s="22"/>
      <c r="H33" s="22"/>
      <c r="I33" s="14"/>
      <c r="J33" s="23"/>
      <c r="K33" s="23"/>
      <c r="L33" s="22"/>
      <c r="M33" s="23"/>
      <c r="N33" s="23"/>
      <c r="O33" s="23"/>
      <c r="P33" s="17" t="n">
        <f aca="false">IFERROR(ROUND((M33+N33+O33)/3,1),"")</f>
        <v>0</v>
      </c>
      <c r="Q33" s="22"/>
      <c r="R33" s="22"/>
      <c r="S33" s="22"/>
    </row>
    <row r="34" customFormat="false" ht="22.35" hidden="false" customHeight="false" outlineLevel="0" collapsed="false">
      <c r="A34" s="18" t="s">
        <v>119</v>
      </c>
      <c r="B34" s="19"/>
      <c r="C34" s="19"/>
      <c r="D34" s="20"/>
      <c r="E34" s="20"/>
      <c r="F34" s="19"/>
      <c r="G34" s="19"/>
      <c r="H34" s="19"/>
      <c r="I34" s="10"/>
      <c r="J34" s="20"/>
      <c r="K34" s="20"/>
      <c r="L34" s="19"/>
      <c r="M34" s="20"/>
      <c r="N34" s="20"/>
      <c r="O34" s="20"/>
      <c r="P34" s="13" t="n">
        <f aca="false">IFERROR(ROUND((M34+N34+O34)/3,1),"")</f>
        <v>0</v>
      </c>
      <c r="Q34" s="19"/>
      <c r="R34" s="19"/>
      <c r="S34" s="19"/>
    </row>
    <row r="35" customFormat="false" ht="22.35" hidden="false" customHeight="false" outlineLevel="0" collapsed="false">
      <c r="A35" s="21" t="s">
        <v>120</v>
      </c>
      <c r="B35" s="22"/>
      <c r="C35" s="22"/>
      <c r="D35" s="23"/>
      <c r="E35" s="23"/>
      <c r="F35" s="22"/>
      <c r="G35" s="22"/>
      <c r="H35" s="22"/>
      <c r="I35" s="14"/>
      <c r="J35" s="23"/>
      <c r="K35" s="23"/>
      <c r="L35" s="22"/>
      <c r="M35" s="23"/>
      <c r="N35" s="23"/>
      <c r="O35" s="23"/>
      <c r="P35" s="17" t="n">
        <f aca="false">IFERROR(ROUND((M35+N35+O35)/3,1),"")</f>
        <v>0</v>
      </c>
      <c r="Q35" s="22"/>
      <c r="R35" s="22"/>
      <c r="S35" s="22"/>
    </row>
  </sheetData>
  <mergeCells count="9">
    <mergeCell ref="A1:S1"/>
    <mergeCell ref="A2:S2"/>
    <mergeCell ref="A3:S3"/>
    <mergeCell ref="A4:C4"/>
    <mergeCell ref="D4:F4"/>
    <mergeCell ref="G4:I4"/>
    <mergeCell ref="J4:L4"/>
    <mergeCell ref="M4:O4"/>
    <mergeCell ref="Q4:R4"/>
  </mergeCells>
  <conditionalFormatting sqref="D6:D35">
    <cfRule type="cellIs" priority="2" operator="equal" aboveAverage="0" equalAverage="0" bottom="0" percent="0" rank="0" text="" dxfId="0">
      <formula>"4-Crítico"</formula>
    </cfRule>
    <cfRule type="cellIs" priority="3" operator="equal" aboveAverage="0" equalAverage="0" bottom="0" percent="0" rank="0" text="" dxfId="1">
      <formula>"3-Alto"</formula>
    </cfRule>
    <cfRule type="cellIs" priority="4" operator="equal" aboveAverage="0" equalAverage="0" bottom="0" percent="0" rank="0" text="" dxfId="2">
      <formula>"2-Medio"</formula>
    </cfRule>
    <cfRule type="cellIs" priority="5" operator="equal" aboveAverage="0" equalAverage="0" bottom="0" percent="0" rank="0" text="" dxfId="3">
      <formula>"1-Bajo"</formula>
    </cfRule>
  </conditionalFormatting>
  <conditionalFormatting sqref="P6:P35">
    <cfRule type="colorScale" priority="6">
      <colorScale>
        <cfvo type="num" val="1"/>
        <cfvo type="num" val="2.5"/>
        <cfvo type="num" val="4"/>
        <color rgb="FF70AD47"/>
        <color rgb="FFFFD966"/>
        <color rgb="FFC00000"/>
      </colorScale>
    </cfRule>
  </conditionalFormatting>
  <dataValidations count="5">
    <dataValidation allowBlank="true" errorStyle="stop" operator="between" showDropDown="false" showErrorMessage="false" showInputMessage="false" sqref="D6:D105" type="list">
      <formula1>"4-Crítico,3-Alto,2-Medio,1-Bajo"</formula1>
      <formula2>0</formula2>
    </dataValidation>
    <dataValidation allowBlank="true" errorStyle="stop" operator="between" showDropDown="false" showErrorMessage="false" showInputMessage="false" sqref="E6:E105" type="list">
      <formula1>"GV.OC,ID.AM,PR.AA,PR.AT,PR.DS,PR.IR,PR.PS,DE.AE,DE.CM,RS.AN,RS.CO,RS.MA,RC.RP,RC.CO"</formula1>
      <formula2>0</formula2>
    </dataValidation>
    <dataValidation allowBlank="true" errorStyle="stop" operator="between" showDropDown="false" showErrorMessage="false" showInputMessage="false" sqref="I6:I105" type="list">
      <formula1>"Sí,No,Parcial"</formula1>
      <formula2>0</formula2>
    </dataValidation>
    <dataValidation allowBlank="true" errorStyle="stop" operator="between" showDropDown="false" showErrorMessage="false" showInputMessage="false" sqref="M6:O105" type="whole">
      <formula1>1</formula1>
      <formula2>4</formula2>
    </dataValidation>
    <dataValidation allowBlank="true" errorStyle="stop" operator="between" showDropDown="false" showErrorMessage="false" showInputMessage="false" sqref="Q6:Q105" type="list">
      <formula1>"Restaurar desde respaldo,Reconstruir desde cero,Failover a nube,Servidor alterno,Manual temporal"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0"/>
    <col collapsed="false" customWidth="true" hidden="false" outlineLevel="0" max="6" min="3" style="0" width="14"/>
    <col collapsed="false" customWidth="true" hidden="false" outlineLevel="0" max="9" min="7" style="0" width="16"/>
    <col collapsed="false" customWidth="true" hidden="false" outlineLevel="0" max="10" min="10" style="0" width="20"/>
  </cols>
  <sheetData>
    <row r="1" customFormat="false" ht="30" hidden="false" customHeight="true" outlineLevel="0" collapsed="false">
      <c r="A1" s="1" t="s">
        <v>121</v>
      </c>
      <c r="B1" s="1"/>
      <c r="C1" s="1"/>
      <c r="D1" s="1"/>
      <c r="E1" s="1"/>
      <c r="F1" s="1"/>
      <c r="G1" s="1"/>
      <c r="H1" s="1"/>
      <c r="I1" s="1"/>
      <c r="J1" s="1"/>
    </row>
    <row r="2" customFormat="false" ht="15.75" hidden="false" customHeight="true" outlineLevel="0" collapsed="false">
      <c r="A2" s="2" t="s">
        <v>122</v>
      </c>
      <c r="B2" s="2"/>
      <c r="C2" s="2"/>
      <c r="D2" s="2"/>
      <c r="E2" s="2"/>
      <c r="F2" s="2"/>
      <c r="G2" s="2"/>
      <c r="H2" s="2"/>
      <c r="I2" s="2"/>
      <c r="J2" s="2"/>
    </row>
    <row r="3" customFormat="false" ht="7.5" hidden="false" customHeight="true" outlineLevel="0" collapsed="false">
      <c r="A3" s="3"/>
      <c r="B3" s="3"/>
      <c r="C3" s="3"/>
      <c r="D3" s="3"/>
      <c r="E3" s="3"/>
      <c r="F3" s="3"/>
      <c r="G3" s="3"/>
      <c r="H3" s="3"/>
      <c r="I3" s="3"/>
      <c r="J3" s="3"/>
    </row>
    <row r="4" customFormat="false" ht="19.5" hidden="false" customHeight="true" outlineLevel="0" collapsed="false">
      <c r="A4" s="24" t="s">
        <v>123</v>
      </c>
      <c r="B4" s="24"/>
      <c r="C4" s="24"/>
      <c r="E4" s="24" t="s">
        <v>124</v>
      </c>
      <c r="F4" s="24"/>
      <c r="G4" s="24"/>
    </row>
    <row r="5" customFormat="false" ht="18" hidden="false" customHeight="true" outlineLevel="0" collapsed="false">
      <c r="A5" s="25" t="s">
        <v>32</v>
      </c>
      <c r="B5" s="26" t="n">
        <f aca="false">COUNTIF(BIA!D6:D105,"4-Crítico")</f>
        <v>4</v>
      </c>
      <c r="C5" s="15" t="s">
        <v>125</v>
      </c>
      <c r="E5" s="27" t="s">
        <v>126</v>
      </c>
      <c r="F5" s="26" t="n">
        <f aca="false">COUNTIF(BIA!I6:I105,"Sí")</f>
        <v>10</v>
      </c>
      <c r="G5" s="15" t="s">
        <v>125</v>
      </c>
    </row>
    <row r="6" customFormat="false" ht="18" hidden="false" customHeight="true" outlineLevel="0" collapsed="false">
      <c r="A6" s="28" t="s">
        <v>44</v>
      </c>
      <c r="B6" s="26" t="n">
        <f aca="false">COUNTIF(BIA!D6:D105,"3-Alto")</f>
        <v>4</v>
      </c>
      <c r="C6" s="15" t="s">
        <v>125</v>
      </c>
      <c r="E6" s="25" t="s">
        <v>127</v>
      </c>
      <c r="F6" s="26" t="n">
        <f aca="false">COUNTIF(BIA!I6:I105,"No")</f>
        <v>0</v>
      </c>
      <c r="G6" s="15" t="s">
        <v>125</v>
      </c>
    </row>
    <row r="7" customFormat="false" ht="18" hidden="false" customHeight="true" outlineLevel="0" collapsed="false">
      <c r="A7" s="29" t="s">
        <v>77</v>
      </c>
      <c r="B7" s="26" t="n">
        <f aca="false">COUNTIF(BIA!D6:D105,"2-Medio")</f>
        <v>2</v>
      </c>
      <c r="C7" s="15" t="s">
        <v>125</v>
      </c>
      <c r="E7" s="29" t="s">
        <v>128</v>
      </c>
      <c r="F7" s="26" t="n">
        <f aca="false">COUNTIF(BIA!I6:I105,"Parcial")</f>
        <v>0</v>
      </c>
      <c r="G7" s="15" t="s">
        <v>125</v>
      </c>
    </row>
    <row r="8" customFormat="false" ht="18" hidden="false" customHeight="true" outlineLevel="0" collapsed="false">
      <c r="A8" s="27" t="s">
        <v>129</v>
      </c>
      <c r="B8" s="26" t="n">
        <f aca="false">COUNTIF(BIA!D6:D105,"1-Bajo")</f>
        <v>0</v>
      </c>
      <c r="C8" s="15" t="s">
        <v>125</v>
      </c>
    </row>
    <row r="9" customFormat="false" ht="22.35" hidden="false" customHeight="false" outlineLevel="0" collapsed="false">
      <c r="A9" s="30" t="s">
        <v>130</v>
      </c>
      <c r="B9" s="31" t="n">
        <f aca="false">SUM(B5:B8)</f>
        <v>10</v>
      </c>
      <c r="C9" s="32" t="s">
        <v>131</v>
      </c>
    </row>
    <row r="11" customFormat="false" ht="19.5" hidden="false" customHeight="true" outlineLevel="0" collapsed="false">
      <c r="A11" s="33" t="s">
        <v>132</v>
      </c>
      <c r="B11" s="33"/>
      <c r="C11" s="33"/>
      <c r="E11" s="34" t="s">
        <v>133</v>
      </c>
      <c r="F11" s="34"/>
      <c r="G11" s="34"/>
      <c r="H11" s="34"/>
      <c r="I11" s="34"/>
      <c r="J11" s="34"/>
    </row>
    <row r="12" customFormat="false" ht="18" hidden="false" customHeight="true" outlineLevel="0" collapsed="false">
      <c r="A12" s="25" t="s">
        <v>32</v>
      </c>
      <c r="B12" s="35" t="n">
        <f aca="false">IFERROR(AVERAGEIF(BIA!D6:D105,"4-Crítico",BIA!J6:J105),"-")</f>
        <v>2.25</v>
      </c>
      <c r="C12" s="15" t="s">
        <v>134</v>
      </c>
      <c r="E12" s="36" t="s">
        <v>10</v>
      </c>
      <c r="F12" s="36" t="s">
        <v>135</v>
      </c>
      <c r="G12" s="36" t="s">
        <v>13</v>
      </c>
      <c r="H12" s="36" t="s">
        <v>136</v>
      </c>
      <c r="I12" s="36" t="s">
        <v>137</v>
      </c>
    </row>
    <row r="13" customFormat="false" ht="15.75" hidden="false" customHeight="true" outlineLevel="0" collapsed="false">
      <c r="A13" s="28" t="s">
        <v>44</v>
      </c>
      <c r="B13" s="35" t="n">
        <f aca="false">IFERROR(AVERAGEIF(BIA!D6:D105,"3-Alto",BIA!J6:J105),"-")</f>
        <v>4</v>
      </c>
      <c r="C13" s="15" t="s">
        <v>134</v>
      </c>
      <c r="E13" s="37" t="s">
        <v>138</v>
      </c>
      <c r="F13" s="38"/>
      <c r="G13" s="38"/>
      <c r="H13" s="38"/>
      <c r="I13" s="38"/>
    </row>
    <row r="14" customFormat="false" ht="15.75" hidden="false" customHeight="true" outlineLevel="0" collapsed="false">
      <c r="A14" s="29" t="s">
        <v>77</v>
      </c>
      <c r="B14" s="35" t="n">
        <f aca="false">IFERROR(AVERAGEIF(BIA!D6:D105,"2-Medio",BIA!J6:J105),"-")</f>
        <v>8</v>
      </c>
      <c r="C14" s="15" t="s">
        <v>134</v>
      </c>
      <c r="E14" s="39"/>
      <c r="F14" s="23"/>
      <c r="G14" s="23"/>
      <c r="H14" s="23"/>
      <c r="I14" s="23"/>
    </row>
    <row r="15" customFormat="false" ht="15.75" hidden="false" customHeight="true" outlineLevel="0" collapsed="false">
      <c r="A15" s="27" t="s">
        <v>129</v>
      </c>
      <c r="B15" s="35" t="str">
        <f aca="false">IFERROR(AVERAGEIF(BIA!D6:D105,"1-Bajo",BIA!J6:J105),"-")</f>
        <v>-</v>
      </c>
      <c r="C15" s="15" t="s">
        <v>134</v>
      </c>
      <c r="E15" s="40"/>
      <c r="F15" s="20"/>
      <c r="G15" s="20"/>
      <c r="H15" s="20"/>
      <c r="I15" s="20"/>
    </row>
    <row r="16" customFormat="false" ht="15.75" hidden="false" customHeight="true" outlineLevel="0" collapsed="false">
      <c r="E16" s="39"/>
      <c r="F16" s="23"/>
      <c r="G16" s="23"/>
      <c r="H16" s="23"/>
      <c r="I16" s="23"/>
    </row>
    <row r="17" customFormat="false" ht="15.75" hidden="false" customHeight="true" outlineLevel="0" collapsed="false">
      <c r="E17" s="40"/>
      <c r="F17" s="20"/>
      <c r="G17" s="20"/>
      <c r="H17" s="20"/>
      <c r="I17" s="20"/>
    </row>
    <row r="18" customFormat="false" ht="15.75" hidden="false" customHeight="true" outlineLevel="0" collapsed="false">
      <c r="E18" s="39"/>
      <c r="F18" s="23"/>
      <c r="G18" s="23"/>
      <c r="H18" s="23"/>
      <c r="I18" s="23"/>
    </row>
    <row r="19" customFormat="false" ht="15.75" hidden="false" customHeight="true" outlineLevel="0" collapsed="false">
      <c r="E19" s="40"/>
      <c r="F19" s="20"/>
      <c r="G19" s="20"/>
      <c r="H19" s="20"/>
      <c r="I19" s="20"/>
    </row>
    <row r="20" customFormat="false" ht="15.75" hidden="false" customHeight="true" outlineLevel="0" collapsed="false">
      <c r="E20" s="39"/>
      <c r="F20" s="23"/>
      <c r="G20" s="23"/>
      <c r="H20" s="23"/>
      <c r="I20" s="23"/>
    </row>
  </sheetData>
  <mergeCells count="7">
    <mergeCell ref="A1:J1"/>
    <mergeCell ref="A2:J2"/>
    <mergeCell ref="A3:J3"/>
    <mergeCell ref="A4:C4"/>
    <mergeCell ref="E4:G4"/>
    <mergeCell ref="A11:C11"/>
    <mergeCell ref="E11:J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4"/>
    <col collapsed="false" customWidth="true" hidden="false" outlineLevel="0" max="5" min="3" style="0" width="28"/>
    <col collapsed="false" customWidth="true" hidden="false" outlineLevel="0" max="7" min="6" style="0" width="22"/>
  </cols>
  <sheetData>
    <row r="1" customFormat="false" ht="27.75" hidden="false" customHeight="true" outlineLevel="0" collapsed="false">
      <c r="A1" s="41" t="s">
        <v>139</v>
      </c>
      <c r="B1" s="41"/>
      <c r="C1" s="41"/>
      <c r="D1" s="41"/>
      <c r="E1" s="41"/>
      <c r="F1" s="41"/>
      <c r="G1" s="41"/>
    </row>
    <row r="3" customFormat="false" ht="19.5" hidden="false" customHeight="true" outlineLevel="0" collapsed="false">
      <c r="A3" s="33" t="s">
        <v>140</v>
      </c>
      <c r="B3" s="33"/>
      <c r="C3" s="33"/>
      <c r="D3" s="33"/>
      <c r="E3" s="33"/>
      <c r="F3" s="33"/>
      <c r="G3" s="33"/>
    </row>
    <row r="4" customFormat="false" ht="18" hidden="false" customHeight="true" outlineLevel="0" collapsed="false">
      <c r="A4" s="36" t="s">
        <v>141</v>
      </c>
      <c r="B4" s="36" t="s">
        <v>142</v>
      </c>
      <c r="C4" s="36" t="s">
        <v>143</v>
      </c>
      <c r="D4" s="36" t="s">
        <v>144</v>
      </c>
      <c r="E4" s="36" t="s">
        <v>145</v>
      </c>
      <c r="F4" s="36" t="s">
        <v>146</v>
      </c>
    </row>
    <row r="5" customFormat="false" ht="30" hidden="false" customHeight="true" outlineLevel="0" collapsed="false">
      <c r="A5" s="42" t="s">
        <v>147</v>
      </c>
      <c r="B5" s="42" t="s">
        <v>148</v>
      </c>
      <c r="C5" s="11" t="s">
        <v>149</v>
      </c>
      <c r="D5" s="11" t="s">
        <v>150</v>
      </c>
      <c r="E5" s="11" t="s">
        <v>151</v>
      </c>
      <c r="F5" s="11" t="s">
        <v>152</v>
      </c>
    </row>
    <row r="6" customFormat="false" ht="30" hidden="false" customHeight="true" outlineLevel="0" collapsed="false">
      <c r="A6" s="43" t="s">
        <v>153</v>
      </c>
      <c r="B6" s="43" t="s">
        <v>154</v>
      </c>
      <c r="C6" s="11" t="s">
        <v>155</v>
      </c>
      <c r="D6" s="11" t="s">
        <v>156</v>
      </c>
      <c r="E6" s="11" t="s">
        <v>157</v>
      </c>
      <c r="F6" s="11" t="s">
        <v>158</v>
      </c>
    </row>
    <row r="7" customFormat="false" ht="30" hidden="false" customHeight="true" outlineLevel="0" collapsed="false">
      <c r="A7" s="44" t="s">
        <v>159</v>
      </c>
      <c r="B7" s="44" t="s">
        <v>160</v>
      </c>
      <c r="C7" s="11" t="s">
        <v>161</v>
      </c>
      <c r="D7" s="11" t="s">
        <v>162</v>
      </c>
      <c r="E7" s="11" t="s">
        <v>163</v>
      </c>
      <c r="F7" s="11" t="s">
        <v>164</v>
      </c>
    </row>
    <row r="8" customFormat="false" ht="30" hidden="false" customHeight="true" outlineLevel="0" collapsed="false">
      <c r="A8" s="45" t="s">
        <v>165</v>
      </c>
      <c r="B8" s="45" t="s">
        <v>166</v>
      </c>
      <c r="C8" s="11" t="s">
        <v>167</v>
      </c>
      <c r="D8" s="11" t="s">
        <v>168</v>
      </c>
      <c r="E8" s="11" t="s">
        <v>169</v>
      </c>
      <c r="F8" s="11" t="s">
        <v>170</v>
      </c>
    </row>
    <row r="11" customFormat="false" ht="19.5" hidden="false" customHeight="true" outlineLevel="0" collapsed="false">
      <c r="A11" s="33" t="s">
        <v>171</v>
      </c>
      <c r="B11" s="33"/>
      <c r="C11" s="33"/>
      <c r="D11" s="33"/>
      <c r="E11" s="33"/>
      <c r="F11" s="33"/>
      <c r="G11" s="33"/>
    </row>
    <row r="12" customFormat="false" ht="18" hidden="false" customHeight="true" outlineLevel="0" collapsed="false">
      <c r="A12" s="36" t="s">
        <v>172</v>
      </c>
      <c r="B12" s="36" t="s">
        <v>141</v>
      </c>
      <c r="C12" s="36" t="s">
        <v>173</v>
      </c>
      <c r="D12" s="36" t="s">
        <v>174</v>
      </c>
      <c r="E12" s="36" t="s">
        <v>175</v>
      </c>
    </row>
    <row r="13" customFormat="false" ht="31.5" hidden="false" customHeight="true" outlineLevel="0" collapsed="false">
      <c r="A13" s="42" t="s">
        <v>147</v>
      </c>
      <c r="B13" s="42" t="s">
        <v>148</v>
      </c>
      <c r="C13" s="11" t="s">
        <v>176</v>
      </c>
      <c r="D13" s="11" t="s">
        <v>177</v>
      </c>
      <c r="E13" s="11" t="s">
        <v>178</v>
      </c>
    </row>
    <row r="14" customFormat="false" ht="31.5" hidden="false" customHeight="true" outlineLevel="0" collapsed="false">
      <c r="A14" s="43" t="s">
        <v>153</v>
      </c>
      <c r="B14" s="43" t="s">
        <v>154</v>
      </c>
      <c r="C14" s="11" t="s">
        <v>179</v>
      </c>
      <c r="D14" s="11" t="s">
        <v>180</v>
      </c>
      <c r="E14" s="11" t="s">
        <v>181</v>
      </c>
    </row>
    <row r="15" customFormat="false" ht="31.5" hidden="false" customHeight="true" outlineLevel="0" collapsed="false">
      <c r="A15" s="44" t="s">
        <v>159</v>
      </c>
      <c r="B15" s="44" t="s">
        <v>160</v>
      </c>
      <c r="C15" s="11" t="s">
        <v>182</v>
      </c>
      <c r="D15" s="11" t="s">
        <v>183</v>
      </c>
      <c r="E15" s="11" t="s">
        <v>184</v>
      </c>
    </row>
    <row r="16" customFormat="false" ht="31.5" hidden="false" customHeight="true" outlineLevel="0" collapsed="false">
      <c r="A16" s="45" t="s">
        <v>165</v>
      </c>
      <c r="B16" s="45" t="s">
        <v>166</v>
      </c>
      <c r="C16" s="11" t="s">
        <v>185</v>
      </c>
      <c r="D16" s="11" t="s">
        <v>186</v>
      </c>
      <c r="E16" s="11" t="s">
        <v>187</v>
      </c>
    </row>
    <row r="19" customFormat="false" ht="19.5" hidden="false" customHeight="true" outlineLevel="0" collapsed="false">
      <c r="A19" s="33" t="s">
        <v>188</v>
      </c>
      <c r="B19" s="33"/>
      <c r="C19" s="33"/>
      <c r="D19" s="33"/>
      <c r="E19" s="33"/>
      <c r="F19" s="33"/>
      <c r="G19" s="33"/>
    </row>
    <row r="20" customFormat="false" ht="18" hidden="false" customHeight="true" outlineLevel="0" collapsed="false">
      <c r="A20" s="36" t="s">
        <v>189</v>
      </c>
      <c r="B20" s="36" t="s">
        <v>190</v>
      </c>
      <c r="C20" s="36" t="s">
        <v>191</v>
      </c>
    </row>
    <row r="21" customFormat="false" ht="15.75" hidden="false" customHeight="true" outlineLevel="0" collapsed="false">
      <c r="A21" s="46" t="s">
        <v>192</v>
      </c>
      <c r="B21" s="47" t="s">
        <v>193</v>
      </c>
      <c r="C21" s="47" t="s">
        <v>194</v>
      </c>
    </row>
    <row r="22" customFormat="false" ht="15.75" hidden="false" customHeight="true" outlineLevel="0" collapsed="false">
      <c r="A22" s="48" t="s">
        <v>195</v>
      </c>
      <c r="B22" s="49" t="s">
        <v>196</v>
      </c>
      <c r="C22" s="49" t="s">
        <v>197</v>
      </c>
    </row>
    <row r="23" customFormat="false" ht="15.75" hidden="false" customHeight="true" outlineLevel="0" collapsed="false">
      <c r="A23" s="46" t="s">
        <v>33</v>
      </c>
      <c r="B23" s="47" t="s">
        <v>198</v>
      </c>
      <c r="C23" s="47" t="s">
        <v>199</v>
      </c>
    </row>
    <row r="24" customFormat="false" ht="15.75" hidden="false" customHeight="true" outlineLevel="0" collapsed="false">
      <c r="A24" s="48" t="s">
        <v>51</v>
      </c>
      <c r="B24" s="49" t="s">
        <v>200</v>
      </c>
      <c r="C24" s="49" t="s">
        <v>201</v>
      </c>
    </row>
    <row r="25" customFormat="false" ht="15.75" hidden="false" customHeight="true" outlineLevel="0" collapsed="false">
      <c r="A25" s="46" t="s">
        <v>97</v>
      </c>
      <c r="B25" s="47" t="s">
        <v>202</v>
      </c>
      <c r="C25" s="47" t="s">
        <v>203</v>
      </c>
    </row>
    <row r="26" customFormat="false" ht="15.75" hidden="false" customHeight="true" outlineLevel="0" collapsed="false">
      <c r="A26" s="48" t="s">
        <v>204</v>
      </c>
      <c r="B26" s="49" t="s">
        <v>205</v>
      </c>
      <c r="C26" s="49" t="s">
        <v>206</v>
      </c>
    </row>
    <row r="27" customFormat="false" ht="15.75" hidden="false" customHeight="true" outlineLevel="0" collapsed="false">
      <c r="A27" s="46" t="s">
        <v>89</v>
      </c>
      <c r="B27" s="47" t="s">
        <v>207</v>
      </c>
      <c r="C27" s="47" t="s">
        <v>208</v>
      </c>
    </row>
    <row r="28" customFormat="false" ht="15.75" hidden="false" customHeight="true" outlineLevel="0" collapsed="false">
      <c r="A28" s="48" t="s">
        <v>209</v>
      </c>
      <c r="B28" s="49" t="s">
        <v>210</v>
      </c>
      <c r="C28" s="49" t="s">
        <v>211</v>
      </c>
    </row>
  </sheetData>
  <mergeCells count="4">
    <mergeCell ref="A1:G1"/>
    <mergeCell ref="A3:G3"/>
    <mergeCell ref="A11:G11"/>
    <mergeCell ref="A19:G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26"/>
    <col collapsed="false" customWidth="true" hidden="false" outlineLevel="0" max="3" min="3" style="0" width="60"/>
  </cols>
  <sheetData>
    <row r="1" customFormat="false" ht="27.75" hidden="false" customHeight="true" outlineLevel="0" collapsed="false">
      <c r="A1" s="41" t="s">
        <v>212</v>
      </c>
      <c r="B1" s="41"/>
      <c r="C1" s="41"/>
    </row>
    <row r="3" customFormat="false" ht="15.75" hidden="false" customHeight="true" outlineLevel="0" collapsed="false">
      <c r="A3" s="50"/>
      <c r="B3" s="51" t="s">
        <v>213</v>
      </c>
      <c r="C3" s="51"/>
    </row>
    <row r="4" customFormat="false" ht="39.75" hidden="false" customHeight="true" outlineLevel="0" collapsed="false">
      <c r="A4" s="52"/>
      <c r="B4" s="53" t="s">
        <v>214</v>
      </c>
      <c r="C4" s="49" t="s">
        <v>215</v>
      </c>
    </row>
    <row r="5" customFormat="false" ht="39.75" hidden="false" customHeight="true" outlineLevel="0" collapsed="false">
      <c r="A5" s="54"/>
      <c r="B5" s="55" t="s">
        <v>216</v>
      </c>
      <c r="C5" s="47" t="s">
        <v>217</v>
      </c>
    </row>
    <row r="6" customFormat="false" ht="39.75" hidden="false" customHeight="true" outlineLevel="0" collapsed="false">
      <c r="A6" s="52"/>
      <c r="B6" s="53"/>
      <c r="C6" s="49"/>
    </row>
    <row r="7" customFormat="false" ht="15.75" hidden="false" customHeight="true" outlineLevel="0" collapsed="false">
      <c r="A7" s="50"/>
      <c r="B7" s="51" t="s">
        <v>218</v>
      </c>
      <c r="C7" s="51"/>
    </row>
    <row r="8" customFormat="false" ht="39.75" hidden="false" customHeight="true" outlineLevel="0" collapsed="false">
      <c r="A8" s="52" t="s">
        <v>165</v>
      </c>
      <c r="B8" s="53" t="s">
        <v>219</v>
      </c>
      <c r="C8" s="49" t="s">
        <v>220</v>
      </c>
    </row>
    <row r="9" customFormat="false" ht="39.75" hidden="false" customHeight="true" outlineLevel="0" collapsed="false">
      <c r="A9" s="54" t="s">
        <v>159</v>
      </c>
      <c r="B9" s="55" t="s">
        <v>13</v>
      </c>
      <c r="C9" s="47" t="s">
        <v>221</v>
      </c>
    </row>
    <row r="10" customFormat="false" ht="39.75" hidden="false" customHeight="true" outlineLevel="0" collapsed="false">
      <c r="A10" s="52" t="s">
        <v>153</v>
      </c>
      <c r="B10" s="53" t="s">
        <v>222</v>
      </c>
      <c r="C10" s="49" t="s">
        <v>223</v>
      </c>
    </row>
    <row r="11" customFormat="false" ht="39.75" hidden="false" customHeight="true" outlineLevel="0" collapsed="false">
      <c r="A11" s="54" t="s">
        <v>147</v>
      </c>
      <c r="B11" s="55" t="s">
        <v>224</v>
      </c>
      <c r="C11" s="47" t="s">
        <v>225</v>
      </c>
    </row>
    <row r="12" customFormat="false" ht="39.75" hidden="false" customHeight="true" outlineLevel="0" collapsed="false">
      <c r="A12" s="52" t="s">
        <v>226</v>
      </c>
      <c r="B12" s="53" t="s">
        <v>227</v>
      </c>
      <c r="C12" s="49" t="s">
        <v>228</v>
      </c>
    </row>
    <row r="13" customFormat="false" ht="39.75" hidden="false" customHeight="true" outlineLevel="0" collapsed="false">
      <c r="A13" s="54" t="s">
        <v>229</v>
      </c>
      <c r="B13" s="55" t="s">
        <v>230</v>
      </c>
      <c r="C13" s="47" t="s">
        <v>231</v>
      </c>
    </row>
    <row r="14" customFormat="false" ht="39.75" hidden="false" customHeight="true" outlineLevel="0" collapsed="false">
      <c r="A14" s="52" t="s">
        <v>232</v>
      </c>
      <c r="B14" s="53" t="s">
        <v>233</v>
      </c>
      <c r="C14" s="49" t="s">
        <v>234</v>
      </c>
    </row>
    <row r="15" customFormat="false" ht="39.75" hidden="false" customHeight="true" outlineLevel="0" collapsed="false">
      <c r="A15" s="54"/>
      <c r="B15" s="55"/>
      <c r="C15" s="47"/>
    </row>
    <row r="16" customFormat="false" ht="15.75" hidden="false" customHeight="true" outlineLevel="0" collapsed="false">
      <c r="A16" s="50"/>
      <c r="B16" s="51" t="s">
        <v>235</v>
      </c>
      <c r="C16" s="51"/>
    </row>
    <row r="17" customFormat="false" ht="39.75" hidden="false" customHeight="true" outlineLevel="0" collapsed="false">
      <c r="A17" s="54"/>
      <c r="B17" s="55" t="s">
        <v>236</v>
      </c>
      <c r="C17" s="47" t="s">
        <v>237</v>
      </c>
    </row>
    <row r="18" customFormat="false" ht="39.75" hidden="false" customHeight="true" outlineLevel="0" collapsed="false">
      <c r="A18" s="52"/>
      <c r="B18" s="53" t="s">
        <v>238</v>
      </c>
      <c r="C18" s="49" t="s">
        <v>239</v>
      </c>
    </row>
    <row r="19" customFormat="false" ht="39.75" hidden="false" customHeight="true" outlineLevel="0" collapsed="false">
      <c r="A19" s="54"/>
      <c r="B19" s="55"/>
      <c r="C19" s="47"/>
    </row>
    <row r="20" customFormat="false" ht="39.75" hidden="false" customHeight="true" outlineLevel="0" collapsed="false">
      <c r="A20" s="52"/>
      <c r="B20" s="53" t="s">
        <v>240</v>
      </c>
      <c r="C20" s="49" t="s">
        <v>241</v>
      </c>
    </row>
  </sheetData>
  <mergeCells count="4">
    <mergeCell ref="A1:C1"/>
    <mergeCell ref="B3:C3"/>
    <mergeCell ref="B7:C7"/>
    <mergeCell ref="B16:C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2026-04-24T23:43:41Z</dcterms:created>
  <dc:creator>openpyxl</dc:creator>
  <dc:description/>
  <dc:language>en-US</dc:language>
  <cp:lastModifiedBy/>
  <dcterms:modified xsi:type="dcterms:W3CDTF">2026-04-24T23:43:41Z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