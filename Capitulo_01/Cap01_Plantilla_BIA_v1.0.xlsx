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openitsoft-my.sharepoint.com/personal/mvergara_openitnet_com/Documents/Libro MPC/Capitulos/01- Aspectos Generales/Templates/"/>
    </mc:Choice>
  </mc:AlternateContent>
  <xr:revisionPtr revIDLastSave="1" documentId="11_D9DA44846EB00467C8BC721BE09D1379169EF071" xr6:coauthVersionLast="47" xr6:coauthVersionMax="47" xr10:uidLastSave="{97F1B2FF-461B-4429-822D-40633B039BDC}"/>
  <bookViews>
    <workbookView xWindow="3510" yWindow="3510" windowWidth="21600" windowHeight="11505" tabRatio="500" xr2:uid="{00000000-000D-0000-FFFF-FFFF00000000}"/>
  </bookViews>
  <sheets>
    <sheet name="BIA" sheetId="1" r:id="rId1"/>
    <sheet name="Dashboard" sheetId="2" r:id="rId2"/>
    <sheet name="Escalas de Referencia" sheetId="3" r:id="rId3"/>
    <sheet name="Instructivo"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5" i="2" l="1"/>
  <c r="B14" i="2"/>
  <c r="B13" i="2"/>
  <c r="B12" i="2"/>
  <c r="B9" i="2"/>
  <c r="B8" i="2"/>
  <c r="F7" i="2"/>
  <c r="B7" i="2"/>
  <c r="F6" i="2"/>
  <c r="B6" i="2"/>
  <c r="F5" i="2"/>
  <c r="B5" i="2"/>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alcChain>
</file>

<file path=xl/sharedStrings.xml><?xml version="1.0" encoding="utf-8"?>
<sst xmlns="http://schemas.openxmlformats.org/spreadsheetml/2006/main" count="320" uniqueCount="242">
  <si>
    <t>ANÁLISIS DE IMPACTO — SISTEMAS Y SERVIDORES TI</t>
  </si>
  <si>
    <t>Capítulo 1 — Aspectos Generales  |  Marco de referencia: NIST CSF 2.0 — Función Responder (RS)  |  Libro: Ciberprotección para PyMEs</t>
  </si>
  <si>
    <t>IDENTIFICACIÓN DEL SISTEMA</t>
  </si>
  <si>
    <t>CLASIFICACIÓN</t>
  </si>
  <si>
    <t>DEPENDENCIAS</t>
  </si>
  <si>
    <t>MÉTRICAS DE RECUPERACIÓN</t>
  </si>
  <si>
    <t>IMPACTO POR DIMENSIÓN</t>
  </si>
  <si>
    <t>ÍNDICE DE IMPACTO</t>
  </si>
  <si>
    <t>ESTRATEGIA DE RECUPERACIÓN</t>
  </si>
  <si>
    <t>OBSERVACIONES</t>
  </si>
  <si>
    <t>ID</t>
  </si>
  <si>
    <t>Nombre del sistema / servidor</t>
  </si>
  <si>
    <t>Tipo de servidor</t>
  </si>
  <si>
    <t>Criticidad</t>
  </si>
  <si>
    <t>Función NIST CSF 2.0</t>
  </si>
  <si>
    <t>Propietario TI</t>
  </si>
  <si>
    <t>Sistemas que dependen de él</t>
  </si>
  <si>
    <t>Sistemas de los que depende</t>
  </si>
  <si>
    <t>¿Tiene respaldo?</t>
  </si>
  <si>
    <t>RTO (horas)</t>
  </si>
  <si>
    <t>RPO (horas)</t>
  </si>
  <si>
    <t>Último respaldo verificado</t>
  </si>
  <si>
    <t>Impacto Operativo (1–4)</t>
  </si>
  <si>
    <t>Impacto Económico (1–4)</t>
  </si>
  <si>
    <t>Impacto Reputacional (1–4)</t>
  </si>
  <si>
    <t>Índice de Impacto</t>
  </si>
  <si>
    <t>Estrategia de recuperación</t>
  </si>
  <si>
    <t>Herramienta de respaldo</t>
  </si>
  <si>
    <t>Observaciones</t>
  </si>
  <si>
    <t>SRV-001</t>
  </si>
  <si>
    <t>Servidor de base de datos principal</t>
  </si>
  <si>
    <t>Base de datos</t>
  </si>
  <si>
    <t>4-Crítico</t>
  </si>
  <si>
    <t>PR.DS</t>
  </si>
  <si>
    <t>Administrador TI</t>
  </si>
  <si>
    <t>ERP, CRM, sitio web</t>
  </si>
  <si>
    <t>Ninguno</t>
  </si>
  <si>
    <t>Sí</t>
  </si>
  <si>
    <t>2026-04-20</t>
  </si>
  <si>
    <t>Veeam / Bacula</t>
  </si>
  <si>
    <t>Contiene datos financieros y de clientes</t>
  </si>
  <si>
    <t>SRV-002</t>
  </si>
  <si>
    <t>Servidor de correo electrónico</t>
  </si>
  <si>
    <t>Correo</t>
  </si>
  <si>
    <t>3-Alto</t>
  </si>
  <si>
    <t>Todos los usuarios</t>
  </si>
  <si>
    <t>DNS, Directorio</t>
  </si>
  <si>
    <t>Veeam</t>
  </si>
  <si>
    <t>SRV-003</t>
  </si>
  <si>
    <t>Controlador de dominio (AD)</t>
  </si>
  <si>
    <t>Directorio</t>
  </si>
  <si>
    <t>PR.AA</t>
  </si>
  <si>
    <t>Todos los servidores</t>
  </si>
  <si>
    <t>DNS</t>
  </si>
  <si>
    <t>2026-04-19</t>
  </si>
  <si>
    <t>Windows Server Backup</t>
  </si>
  <si>
    <t>Requiere controlador secundario</t>
  </si>
  <si>
    <t>SRV-004</t>
  </si>
  <si>
    <t>Servidor DNS interno</t>
  </si>
  <si>
    <t>Toda la red interna</t>
  </si>
  <si>
    <t>Bind9 + scripts</t>
  </si>
  <si>
    <t>SRV-005</t>
  </si>
  <si>
    <t>Servidor de archivos compartidos</t>
  </si>
  <si>
    <t>Archivos</t>
  </si>
  <si>
    <t>AD, DNS</t>
  </si>
  <si>
    <t>SRV-006</t>
  </si>
  <si>
    <t>ERP / sistema contable</t>
  </si>
  <si>
    <t>Aplicación</t>
  </si>
  <si>
    <t>Gerencia TI</t>
  </si>
  <si>
    <t>Finanzas, Operaciones</t>
  </si>
  <si>
    <t>BD principal, AD</t>
  </si>
  <si>
    <t>2026-04-18</t>
  </si>
  <si>
    <t>Proveedor ERP</t>
  </si>
  <si>
    <t>Coordinar con proveedor ante incidente</t>
  </si>
  <si>
    <t>SRV-007</t>
  </si>
  <si>
    <t>Servidor web / intranet</t>
  </si>
  <si>
    <t>Web</t>
  </si>
  <si>
    <t>2-Medio</t>
  </si>
  <si>
    <t>Usuarios internos</t>
  </si>
  <si>
    <t>BD, DNS</t>
  </si>
  <si>
    <t>2026-04-17</t>
  </si>
  <si>
    <t>Rsync + scripts</t>
  </si>
  <si>
    <t>SRV-008</t>
  </si>
  <si>
    <t>Servidor VPN</t>
  </si>
  <si>
    <t>Red</t>
  </si>
  <si>
    <t>Teletrabajadores</t>
  </si>
  <si>
    <t>AD, DNS, Firewall</t>
  </si>
  <si>
    <t>SRV-009</t>
  </si>
  <si>
    <t>Sistema de tickets (ITSM)</t>
  </si>
  <si>
    <t>RS.MA</t>
  </si>
  <si>
    <t>Equipo TI</t>
  </si>
  <si>
    <t>BD, correo</t>
  </si>
  <si>
    <t>2026-04-16</t>
  </si>
  <si>
    <t>Scripts BD</t>
  </si>
  <si>
    <t>SRV-010</t>
  </si>
  <si>
    <t>Servidor de monitoreo (SIEM/SMON)</t>
  </si>
  <si>
    <t>Monitoreo</t>
  </si>
  <si>
    <t>DE.CM</t>
  </si>
  <si>
    <t>Red interna</t>
  </si>
  <si>
    <t>Ansible + scripts</t>
  </si>
  <si>
    <t>Wazuh / Zabbix</t>
  </si>
  <si>
    <t>SRV-011</t>
  </si>
  <si>
    <t>SRV-012</t>
  </si>
  <si>
    <t>SRV-013</t>
  </si>
  <si>
    <t>SRV-014</t>
  </si>
  <si>
    <t>SRV-015</t>
  </si>
  <si>
    <t>SRV-016</t>
  </si>
  <si>
    <t>SRV-017</t>
  </si>
  <si>
    <t>SRV-018</t>
  </si>
  <si>
    <t>SRV-019</t>
  </si>
  <si>
    <t>SRV-020</t>
  </si>
  <si>
    <t>SRV-021</t>
  </si>
  <si>
    <t>SRV-022</t>
  </si>
  <si>
    <t>SRV-023</t>
  </si>
  <si>
    <t>SRV-024</t>
  </si>
  <si>
    <t>SRV-025</t>
  </si>
  <si>
    <t>SRV-026</t>
  </si>
  <si>
    <t>SRV-027</t>
  </si>
  <si>
    <t>SRV-028</t>
  </si>
  <si>
    <t>SRV-029</t>
  </si>
  <si>
    <t>SRV-030</t>
  </si>
  <si>
    <t>DASHBOARD — ANÁLISIS DE IMPACTO (BIA)</t>
  </si>
  <si>
    <t>Resumen ejecutivo para la Dirección  |  Ciberprotección para PyMEs — Capítulo 1</t>
  </si>
  <si>
    <t>SISTEMAS POR NIVEL DE CRITICIDAD</t>
  </si>
  <si>
    <t>ESTADO DE RESPALDO</t>
  </si>
  <si>
    <t>sistemas</t>
  </si>
  <si>
    <t>Con respaldo: Sí</t>
  </si>
  <si>
    <t>Con respaldo: No</t>
  </si>
  <si>
    <t>Con respaldo: Parcial</t>
  </si>
  <si>
    <t>1-Bajo</t>
  </si>
  <si>
    <t>TOTAL</t>
  </si>
  <si>
    <t>sistemas registrados</t>
  </si>
  <si>
    <t>RTO PROMEDIO POR CRITICIDAD (horas)</t>
  </si>
  <si>
    <t>⚠  SISTEMAS CRÍTICOS SIN RESPALDO — REQUIEREN ATENCIÓN INMEDIATA</t>
  </si>
  <si>
    <t>horas promedio</t>
  </si>
  <si>
    <t>Nombre del sistema</t>
  </si>
  <si>
    <t>RTO (h)</t>
  </si>
  <si>
    <t>Propietario</t>
  </si>
  <si>
    <t>→ Filtrar en hoja BIA: Criticidad 4-Crítico / 3-Alto + Respaldo = No</t>
  </si>
  <si>
    <t>ESCALAS DE REFERENCIA — BIA</t>
  </si>
  <si>
    <t>ESCALA DE CRITICIDAD DEL SISTEMA</t>
  </si>
  <si>
    <t>Nivel</t>
  </si>
  <si>
    <t>Etiqueta</t>
  </si>
  <si>
    <t>Descripción</t>
  </si>
  <si>
    <t>Ejemplos típicos</t>
  </si>
  <si>
    <t>RTO sugerido</t>
  </si>
  <si>
    <t>RPO sugerido</t>
  </si>
  <si>
    <t>4</t>
  </si>
  <si>
    <t>Crítico</t>
  </si>
  <si>
    <t>Su falla detiene la operación completa del negocio.</t>
  </si>
  <si>
    <t>BD principal, AD, DNS, ERP, firewall</t>
  </si>
  <si>
    <t>≤ 2 horas</t>
  </si>
  <si>
    <t>≤ 1 hora</t>
  </si>
  <si>
    <t>3</t>
  </si>
  <si>
    <t>Alto</t>
  </si>
  <si>
    <t>Su falla afecta procesos importantes pero no detiene todo.</t>
  </si>
  <si>
    <t>Correo, VPN, servidor de archivos, ITSM</t>
  </si>
  <si>
    <t>2–8 horas</t>
  </si>
  <si>
    <t>1–4 horas</t>
  </si>
  <si>
    <t>2</t>
  </si>
  <si>
    <t>Medio</t>
  </si>
  <si>
    <t>Su falla genera inconvenientes pero hay alternativas manuales.</t>
  </si>
  <si>
    <t>Intranet, reportes, servidor de impresión</t>
  </si>
  <si>
    <t>8–24 horas</t>
  </si>
  <si>
    <t>4–8 horas</t>
  </si>
  <si>
    <t>1</t>
  </si>
  <si>
    <t>Bajo</t>
  </si>
  <si>
    <t>Su falla no afecta operaciones críticas.</t>
  </si>
  <si>
    <t>Servidor de pruebas, wikis internas</t>
  </si>
  <si>
    <t>&gt; 24 horas</t>
  </si>
  <si>
    <t>&gt; 8 horas</t>
  </si>
  <si>
    <t>ESCALA DE IMPACTO POR DIMENSIÓN (1–4)</t>
  </si>
  <si>
    <t>Valor</t>
  </si>
  <si>
    <t>Impacto Operativo</t>
  </si>
  <si>
    <t>Impacto Económico</t>
  </si>
  <si>
    <t>Impacto Reputacional</t>
  </si>
  <si>
    <t>Detención total de operaciones</t>
  </si>
  <si>
    <t>Pérdida económica mayor / multas regulatorias</t>
  </si>
  <si>
    <t>Daño reputacional grave y público</t>
  </si>
  <si>
    <t>Afecta procesos clave, sin alternativa</t>
  </si>
  <si>
    <t>Pérdida económica significativa</t>
  </si>
  <si>
    <t>Quejas de clientes / cobertura mediática</t>
  </si>
  <si>
    <t>Reduce eficiencia, hay alternativa manual</t>
  </si>
  <si>
    <t>Pérdida menor / costos de workaround</t>
  </si>
  <si>
    <t>Molestia interna, sin exposición pública</t>
  </si>
  <si>
    <t>Impacto mínimo o imperceptible</t>
  </si>
  <si>
    <t>Sin impacto económico relevante</t>
  </si>
  <si>
    <t>Sin impacto reputacional</t>
  </si>
  <si>
    <t>REFERENCIA NIST CSF 2.0</t>
  </si>
  <si>
    <t>Código</t>
  </si>
  <si>
    <t>Función / Categoría NIST CSF 2.0</t>
  </si>
  <si>
    <t>Aplicación en el BIA</t>
  </si>
  <si>
    <t>GV.OC</t>
  </si>
  <si>
    <t>Govern — Organizational Context</t>
  </si>
  <si>
    <t>Contexto organizacional y tolerancia al riesgo</t>
  </si>
  <si>
    <t>ID.AM</t>
  </si>
  <si>
    <t>Identify — Asset Management</t>
  </si>
  <si>
    <t>Inventario y gestión de activos TI</t>
  </si>
  <si>
    <t>Protect — Data Security</t>
  </si>
  <si>
    <t>Protección de datos y sistemas</t>
  </si>
  <si>
    <t>Protect — Identity Management</t>
  </si>
  <si>
    <t>Gestión de identidades y control de acceso</t>
  </si>
  <si>
    <t>Detect — Continuous Monitoring</t>
  </si>
  <si>
    <t>Monitoreo continuo</t>
  </si>
  <si>
    <t>RS.AN</t>
  </si>
  <si>
    <t>Respond — Incident Analysis</t>
  </si>
  <si>
    <t>Análisis del incidente</t>
  </si>
  <si>
    <t>Respond — Incident Management</t>
  </si>
  <si>
    <t>Gestión y contención del incidente</t>
  </si>
  <si>
    <t>RC.RP</t>
  </si>
  <si>
    <t>Recover — Incident Recovery Plan</t>
  </si>
  <si>
    <t>Plan de recuperación</t>
  </si>
  <si>
    <t>INSTRUCTIVO DE USO — PLANTILLA BIA</t>
  </si>
  <si>
    <t>PROPÓSITO</t>
  </si>
  <si>
    <t>¿Qué es el BIA?</t>
  </si>
  <si>
    <t>El Análisis de Impacto (Business Impact Analysis) identifica qué sistemas TI son críticos para la operación, qué tan rápido deben recuperarse ante un incidente (RTO), cuánta información puede perderse sin consecuencias irreparables (RPO), y cuál es el impacto potencial de su falla en las dimensiones operativa, económica y reputacional.</t>
  </si>
  <si>
    <t>¿Para qué sirve esta plantilla?</t>
  </si>
  <si>
    <t>Apoya el diseño del Plan de Recuperación de Desastres (DRP) y la priorización de recursos de respaldo. Es el insumo principal para definir qué servidores se recuperan primero ante un incidente mayor.</t>
  </si>
  <si>
    <t>INSTRUCCIONES DE LLENADO</t>
  </si>
  <si>
    <t>Hoja BIA</t>
  </si>
  <si>
    <t>Complete una fila por cada servidor o sistema TI del entorno. Use los IDs sugeridos (SRV-001, SRV-002...) o defina su propia nomenclatura. No deje en blanco las columnas de Criticidad, RTO, RPO ni Impacto.</t>
  </si>
  <si>
    <t>Seleccione del menú desplegable: 4-Crítico / 3-Alto / 2-Medio / 1-Bajo. Use la hoja 'Escalas de Referencia' para guiar la decisión. Ante la duda, clasifique hacia arriba (más crítico).</t>
  </si>
  <si>
    <t>RTO y RPO</t>
  </si>
  <si>
    <t>Exprese en horas. El RTO es el tiempo máximo tolerable de inactividad. El RPO es la cantidad máxima de información que puede perderse. Ambos valores deben ser acordados con la Dirección, no definidos solo por TI.</t>
  </si>
  <si>
    <t>Impacto (columnas M, N, O)</t>
  </si>
  <si>
    <t>Califique de 1 a 4 cada dimensión: Operativa (afectación a procesos), Económica (pérdidas o costos), Reputacional (daño ante clientes o terceros). El Índice de Impacto (col. P) se calcula automáticamente como el promedio de las tres.</t>
  </si>
  <si>
    <t>5</t>
  </si>
  <si>
    <t>Dependencias</t>
  </si>
  <si>
    <t>Documente qué sistemas dependen de este servidor y de cuáles depende él. Esta información es crítica para definir el orden de recuperación en el DRP.</t>
  </si>
  <si>
    <t>6</t>
  </si>
  <si>
    <t>Dashboard</t>
  </si>
  <si>
    <t>La hoja Dashboard se actualiza automáticamente. Úsela para presentar el resumen ejecutivo a la Dirección sin necesidad de compartir toda la hoja BIA.</t>
  </si>
  <si>
    <t>7</t>
  </si>
  <si>
    <t>Revisión periódica</t>
  </si>
  <si>
    <t>Actualice esta plantilla cada vez que se incorpore, retire o modifique un sistema crítico. Revísela obligatoriamente después de cada incidente mayor.</t>
  </si>
  <si>
    <t>ALINEACIÓN NIST CSF 2.0</t>
  </si>
  <si>
    <t>Función Responder (RS)</t>
  </si>
  <si>
    <t>Esta plantilla apoya directamente las categorías RS.AN (Análisis del incidente) y RS.MA (Gestión del incidente), al proporcionar la información de criticidad y dependencias necesaria para tomar decisiones de respuesta.</t>
  </si>
  <si>
    <t>Función Identificar (ID)</t>
  </si>
  <si>
    <t>La columna de función NIST CSF 2.0 en la hoja BIA vincula cada sistema con su categoría de gestión dentro del framework, facilitando la trazabilidad del inventario (ID.AM).</t>
  </si>
  <si>
    <t>REPOSITORIO</t>
  </si>
  <si>
    <t>Plantilla disponible en: github.com/MauricioVergaraMPC/ciberpymes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</si>
</sst>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8" x14ac:knownFonts="1">
    <font>
      <sz val="11"/>
      <color theme="1"/>
      <name val="Calibri"/>
      <family val="2"/>
      <charset val="1"/>
    </font>
    <font>
      <b/>
      <sz val="14"/>
      <color rgb="FFFFFFFF"/>
      <name val="Calibri"/>
      <charset val="1"/>
    </font>
    <font>
      <i/>
      <sz val="9"/>
      <color rgb="FFFFFFFF"/>
      <name val="Calibri"/>
      <charset val="1"/>
    </font>
    <font>
      <b/>
      <sz val="9"/>
      <color rgb="FFFFFFFF"/>
      <name val="Calibri"/>
      <charset val="1"/>
    </font>
    <font>
      <sz val="9"/>
      <color rgb="FF000000"/>
      <name val="Arial"/>
      <charset val="1"/>
    </font>
    <font>
      <b/>
      <sz val="9"/>
      <color rgb="FF000000"/>
      <name val="Arial"/>
      <charset val="1"/>
    </font>
    <font>
      <sz val="9"/>
      <color rgb="FFAAAAAA"/>
      <name val="Arial"/>
      <charset val="1"/>
    </font>
    <font>
      <b/>
      <sz val="10"/>
      <color rgb="FFFFFFFF"/>
      <name val="Calibri"/>
      <charset val="1"/>
    </font>
    <font>
      <b/>
      <sz val="9"/>
      <color rgb="FFFFFFFF"/>
      <name val="Arial"/>
      <charset val="1"/>
    </font>
    <font>
      <b/>
      <sz val="10"/>
      <color rgb="FF000000"/>
      <name val="Arial"/>
      <charset val="1"/>
    </font>
    <font>
      <b/>
      <sz val="10"/>
      <color rgb="FFFFFFFF"/>
      <name val="Arial"/>
      <charset val="1"/>
    </font>
    <font>
      <sz val="9"/>
      <color rgb="FFFFFFFF"/>
      <name val="Arial"/>
      <charset val="1"/>
    </font>
    <font>
      <i/>
      <sz val="8"/>
      <color rgb="FF888888"/>
      <name val="Arial"/>
      <charset val="1"/>
    </font>
    <font>
      <b/>
      <sz val="13"/>
      <color rgb="FFFFFFFF"/>
      <name val="Calibri"/>
      <charset val="1"/>
    </font>
    <font>
      <b/>
      <sz val="9"/>
      <name val="Arial"/>
      <charset val="1"/>
    </font>
    <font>
      <sz val="9"/>
      <name val="Arial"/>
      <charset val="1"/>
    </font>
    <font>
      <b/>
      <sz val="10"/>
      <color rgb="FF185FA5"/>
      <name val="Calibri"/>
      <charset val="1"/>
    </font>
    <font>
      <b/>
      <sz val="9"/>
      <color rgb="FF000000"/>
      <name val="Calibri"/>
      <charset val="1"/>
    </font>
  </fonts>
  <fills count="13">
    <fill>
      <patternFill patternType="none"/>
    </fill>
    <fill>
      <patternFill patternType="gray125"/>
    </fill>
    <fill>
      <patternFill patternType="solid">
        <fgColor rgb="FF1F3763"/>
        <bgColor rgb="FF333333"/>
      </patternFill>
    </fill>
    <fill>
      <patternFill patternType="solid">
        <fgColor rgb="FF2F5496"/>
        <bgColor rgb="FF185FA5"/>
      </patternFill>
    </fill>
    <fill>
      <patternFill patternType="solid">
        <fgColor rgb="FFD6E4F0"/>
        <bgColor rgb="FFCCFFFF"/>
      </patternFill>
    </fill>
    <fill>
      <patternFill patternType="solid">
        <fgColor rgb="FF185FA5"/>
        <bgColor rgb="FF2F5496"/>
      </patternFill>
    </fill>
    <fill>
      <patternFill patternType="solid">
        <fgColor rgb="FFFFFFFF"/>
        <bgColor rgb="FFFAFAFA"/>
      </patternFill>
    </fill>
    <fill>
      <patternFill patternType="solid">
        <fgColor rgb="FFFAFAFA"/>
        <bgColor rgb="FFFFFFFF"/>
      </patternFill>
    </fill>
    <fill>
      <patternFill patternType="solid">
        <fgColor rgb="FFC00000"/>
        <bgColor rgb="FF800000"/>
      </patternFill>
    </fill>
    <fill>
      <patternFill patternType="solid">
        <fgColor rgb="FF70AD47"/>
        <bgColor rgb="FF888888"/>
      </patternFill>
    </fill>
    <fill>
      <patternFill patternType="solid">
        <fgColor rgb="FFC55A11"/>
        <bgColor rgb="FF993300"/>
      </patternFill>
    </fill>
    <fill>
      <patternFill patternType="solid">
        <fgColor rgb="FFFFD966"/>
        <bgColor rgb="FFFFCC00"/>
      </patternFill>
    </fill>
    <fill>
      <patternFill patternType="solid">
        <fgColor rgb="FFFCE4D6"/>
        <bgColor rgb="FFFAFAFA"/>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6">
    <xf numFmtId="0" fontId="0" fillId="0" borderId="0" xfId="0"/>
    <xf numFmtId="0" fontId="3" fillId="3" borderId="0" xfId="0" applyFont="1" applyFill="1" applyAlignment="1">
      <alignment horizontal="left" vertical="center" wrapText="1"/>
    </xf>
    <xf numFmtId="0" fontId="13" fillId="2" borderId="0" xfId="0" applyFont="1" applyFill="1" applyAlignment="1">
      <alignment horizontal="center" vertical="center" wrapText="1"/>
    </xf>
    <xf numFmtId="0" fontId="7" fillId="8" borderId="0" xfId="0" applyFont="1" applyFill="1" applyAlignment="1">
      <alignment horizontal="center" vertical="center" wrapText="1"/>
    </xf>
    <xf numFmtId="0" fontId="7" fillId="3" borderId="0" xfId="0" applyFont="1" applyFill="1" applyAlignment="1">
      <alignment horizontal="center" vertical="center" wrapText="1"/>
    </xf>
    <xf numFmtId="0" fontId="7" fillId="2" borderId="0" xfId="0" applyFont="1" applyFill="1" applyAlignment="1">
      <alignment horizontal="center" vertical="center" wrapText="1"/>
    </xf>
    <xf numFmtId="0" fontId="3" fillId="5" borderId="0" xfId="0" applyFont="1" applyFill="1" applyAlignment="1">
      <alignment horizontal="center" vertical="center" wrapText="1"/>
    </xf>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0" fontId="0" fillId="4" borderId="0" xfId="0" applyFill="1"/>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5" borderId="0" xfId="0" applyFont="1" applyFill="1" applyAlignment="1">
      <alignment horizontal="center" vertical="center" wrapText="1"/>
    </xf>
    <xf numFmtId="0" fontId="3" fillId="5" borderId="1"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2" xfId="0" applyFont="1" applyFill="1" applyBorder="1" applyAlignment="1">
      <alignment horizontal="left" vertical="center" wrapText="1"/>
    </xf>
    <xf numFmtId="164" fontId="4" fillId="6" borderId="2" xfId="0" applyNumberFormat="1" applyFont="1" applyFill="1" applyBorder="1" applyAlignment="1">
      <alignment horizontal="left" vertical="center" wrapText="1"/>
    </xf>
    <xf numFmtId="165" fontId="5" fillId="6" borderId="2" xfId="0" applyNumberFormat="1"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7" borderId="2" xfId="0" applyFont="1" applyFill="1" applyBorder="1" applyAlignment="1">
      <alignment horizontal="left" vertical="center" wrapText="1"/>
    </xf>
    <xf numFmtId="164" fontId="4" fillId="7" borderId="2" xfId="0" applyNumberFormat="1" applyFont="1" applyFill="1" applyBorder="1" applyAlignment="1">
      <alignment horizontal="left" vertical="center" wrapText="1"/>
    </xf>
    <xf numFmtId="165" fontId="5" fillId="7" borderId="2" xfId="0" applyNumberFormat="1" applyFont="1" applyFill="1" applyBorder="1" applyAlignment="1">
      <alignment horizontal="center" vertical="center" wrapText="1"/>
    </xf>
    <xf numFmtId="0" fontId="6" fillId="6" borderId="2" xfId="0" applyFont="1" applyFill="1" applyBorder="1" applyAlignment="1">
      <alignment horizontal="center" vertical="center" wrapText="1"/>
    </xf>
    <xf numFmtId="0" fontId="0" fillId="6" borderId="2" xfId="0" applyFill="1" applyBorder="1" applyAlignment="1">
      <alignment horizontal="left" vertical="center" wrapText="1"/>
    </xf>
    <xf numFmtId="0" fontId="0" fillId="6" borderId="2" xfId="0" applyFill="1" applyBorder="1" applyAlignment="1">
      <alignment horizontal="center" vertical="center" wrapText="1"/>
    </xf>
    <xf numFmtId="0" fontId="6" fillId="7" borderId="2" xfId="0" applyFont="1" applyFill="1" applyBorder="1" applyAlignment="1">
      <alignment horizontal="center" vertical="center" wrapText="1"/>
    </xf>
    <xf numFmtId="0" fontId="0" fillId="7" borderId="2" xfId="0" applyFill="1" applyBorder="1" applyAlignment="1">
      <alignment horizontal="left" vertical="center" wrapText="1"/>
    </xf>
    <xf numFmtId="0" fontId="0" fillId="7" borderId="2" xfId="0" applyFill="1" applyBorder="1" applyAlignment="1">
      <alignment horizontal="center" vertical="center" wrapText="1"/>
    </xf>
    <xf numFmtId="0" fontId="8" fillId="8" borderId="2" xfId="0" applyFont="1" applyFill="1" applyBorder="1" applyAlignment="1">
      <alignment horizontal="left" vertical="center" wrapText="1"/>
    </xf>
    <xf numFmtId="0" fontId="9" fillId="6" borderId="2" xfId="0" applyFont="1" applyFill="1" applyBorder="1" applyAlignment="1">
      <alignment horizontal="center" vertical="center" wrapText="1"/>
    </xf>
    <xf numFmtId="0" fontId="8" fillId="9"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5" fillId="11" borderId="2" xfId="0" applyFont="1" applyFill="1" applyBorder="1" applyAlignment="1">
      <alignment horizontal="left" vertical="center" wrapText="1"/>
    </xf>
    <xf numFmtId="0" fontId="3" fillId="5" borderId="2" xfId="0" applyFont="1" applyFill="1" applyBorder="1" applyAlignment="1">
      <alignment horizontal="left" vertical="center" wrapText="1"/>
    </xf>
    <xf numFmtId="0" fontId="10" fillId="5" borderId="2" xfId="0" applyFont="1" applyFill="1" applyBorder="1" applyAlignment="1">
      <alignment horizontal="center" vertical="center" wrapText="1"/>
    </xf>
    <xf numFmtId="0" fontId="11" fillId="5" borderId="2" xfId="0" applyFont="1" applyFill="1" applyBorder="1" applyAlignment="1">
      <alignment horizontal="left" vertical="center" wrapText="1"/>
    </xf>
    <xf numFmtId="165" fontId="9" fillId="6" borderId="2" xfId="0" applyNumberFormat="1" applyFont="1" applyFill="1" applyBorder="1" applyAlignment="1">
      <alignment horizontal="center" vertical="center" wrapText="1"/>
    </xf>
    <xf numFmtId="0" fontId="3" fillId="5" borderId="2" xfId="0" applyFont="1" applyFill="1" applyBorder="1" applyAlignment="1">
      <alignment horizontal="center" vertical="center" wrapText="1"/>
    </xf>
    <xf numFmtId="0" fontId="12" fillId="12" borderId="2" xfId="0" applyFont="1" applyFill="1" applyBorder="1" applyAlignment="1">
      <alignment horizontal="left" vertical="center" wrapText="1"/>
    </xf>
    <xf numFmtId="0" fontId="0" fillId="12" borderId="2" xfId="0" applyFill="1" applyBorder="1" applyAlignment="1">
      <alignment horizontal="center" vertical="center" wrapText="1"/>
    </xf>
    <xf numFmtId="0" fontId="12" fillId="7" borderId="2" xfId="0" applyFont="1" applyFill="1" applyBorder="1" applyAlignment="1">
      <alignment horizontal="left" vertical="center" wrapText="1"/>
    </xf>
    <xf numFmtId="0" fontId="12" fillId="6" borderId="2" xfId="0" applyFont="1" applyFill="1" applyBorder="1" applyAlignment="1">
      <alignment horizontal="left" vertical="center" wrapText="1"/>
    </xf>
    <xf numFmtId="0" fontId="8" fillId="8" borderId="2"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5" fillId="11"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5" fillId="6" borderId="2" xfId="0" applyFont="1" applyFill="1" applyBorder="1" applyAlignment="1">
      <alignment horizontal="left" vertical="center" wrapText="1"/>
    </xf>
    <xf numFmtId="0" fontId="14" fillId="7" borderId="2" xfId="0" applyFont="1" applyFill="1" applyBorder="1" applyAlignment="1">
      <alignment horizontal="center" vertical="center" wrapText="1"/>
    </xf>
    <xf numFmtId="0" fontId="15" fillId="7" borderId="2" xfId="0" applyFont="1" applyFill="1" applyBorder="1" applyAlignment="1">
      <alignment horizontal="left" vertical="center" wrapText="1"/>
    </xf>
    <xf numFmtId="0" fontId="7" fillId="5" borderId="0" xfId="0" applyFont="1" applyFill="1" applyAlignment="1">
      <alignment horizontal="center" vertical="center" wrapText="1"/>
    </xf>
    <xf numFmtId="0" fontId="16" fillId="7" borderId="2" xfId="0" applyFont="1" applyFill="1" applyBorder="1" applyAlignment="1">
      <alignment horizontal="center" vertical="center" wrapText="1"/>
    </xf>
    <xf numFmtId="0" fontId="17" fillId="7" borderId="2" xfId="0" applyFont="1" applyFill="1" applyBorder="1" applyAlignment="1">
      <alignment horizontal="left" vertical="center" wrapText="1"/>
    </xf>
    <xf numFmtId="0" fontId="16" fillId="6" borderId="2" xfId="0" applyFont="1" applyFill="1" applyBorder="1" applyAlignment="1">
      <alignment horizontal="center" vertical="center" wrapText="1"/>
    </xf>
    <xf numFmtId="0" fontId="17" fillId="6" borderId="2" xfId="0" applyFont="1" applyFill="1" applyBorder="1" applyAlignment="1">
      <alignment horizontal="left" vertical="center" wrapText="1"/>
    </xf>
  </cellXfs>
  <cellStyles count="1">
    <cellStyle name="Normal" xfId="0" builtinId="0"/>
  </cellStyles>
  <dxfs count="4">
    <dxf>
      <font>
        <b/>
        <sz val="9"/>
        <color rgb="FFFFFFFF"/>
        <name val="Arial"/>
        <charset val="1"/>
      </font>
      <fill>
        <patternFill>
          <bgColor rgb="FF70AD47"/>
        </patternFill>
      </fill>
    </dxf>
    <dxf>
      <font>
        <b/>
        <sz val="9"/>
        <color rgb="FF000000"/>
        <name val="Arial"/>
        <charset val="1"/>
      </font>
      <fill>
        <patternFill>
          <bgColor rgb="FFFFD966"/>
        </patternFill>
      </fill>
    </dxf>
    <dxf>
      <font>
        <b/>
        <sz val="9"/>
        <color rgb="FFFFFFFF"/>
        <name val="Arial"/>
        <charset val="1"/>
      </font>
      <fill>
        <patternFill>
          <bgColor rgb="FFC55A11"/>
        </patternFill>
      </fill>
    </dxf>
    <dxf>
      <font>
        <b/>
        <sz val="9"/>
        <color rgb="FFFFFFFF"/>
        <name val="Arial"/>
        <charset val="1"/>
      </font>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AFAFA"/>
      <rgbColor rgb="FFCCFFFF"/>
      <rgbColor rgb="FF660066"/>
      <rgbColor rgb="FFFF8080"/>
      <rgbColor rgb="FF185FA5"/>
      <rgbColor rgb="FFD6E4F0"/>
      <rgbColor rgb="FF000080"/>
      <rgbColor rgb="FFFF00FF"/>
      <rgbColor rgb="FFFFFF00"/>
      <rgbColor rgb="FF00FFFF"/>
      <rgbColor rgb="FF800080"/>
      <rgbColor rgb="FF800000"/>
      <rgbColor rgb="FF008080"/>
      <rgbColor rgb="FF0000FF"/>
      <rgbColor rgb="FF00CCFF"/>
      <rgbColor rgb="FFCCFFFF"/>
      <rgbColor rgb="FFCCFFCC"/>
      <rgbColor rgb="FFFCE4D6"/>
      <rgbColor rgb="FF99CCFF"/>
      <rgbColor rgb="FFFF99CC"/>
      <rgbColor rgb="FFCC99FF"/>
      <rgbColor rgb="FFFFD966"/>
      <rgbColor rgb="FF3366FF"/>
      <rgbColor rgb="FF33CCCC"/>
      <rgbColor rgb="FF99CC00"/>
      <rgbColor rgb="FFFFCC00"/>
      <rgbColor rgb="FFFF9900"/>
      <rgbColor rgb="FFC55A11"/>
      <rgbColor rgb="FF666699"/>
      <rgbColor rgb="FFAAAAAA"/>
      <rgbColor rgb="FF1F3763"/>
      <rgbColor rgb="FF70AD47"/>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5"/>
  <sheetViews>
    <sheetView showGridLines="0" tabSelected="1" zoomScaleNormal="100" workbookViewId="0">
      <pane ySplit="4" topLeftCell="A5" activePane="bottomLeft" state="frozen"/>
      <selection pane="bottomLeft" sqref="A1:S1"/>
    </sheetView>
  </sheetViews>
  <sheetFormatPr baseColWidth="10" defaultColWidth="8.7109375" defaultRowHeight="15" x14ac:dyDescent="0.25"/>
  <cols>
    <col min="1" max="1" width="6" customWidth="1"/>
    <col min="2" max="2" width="28" customWidth="1"/>
    <col min="3" max="3" width="18" customWidth="1"/>
    <col min="4" max="5" width="14" customWidth="1"/>
    <col min="6" max="6" width="16" customWidth="1"/>
    <col min="7" max="7" width="24" customWidth="1"/>
    <col min="8" max="8" width="22" customWidth="1"/>
    <col min="9" max="11" width="14" customWidth="1"/>
    <col min="12" max="12" width="20" customWidth="1"/>
    <col min="13" max="14" width="16" customWidth="1"/>
    <col min="15" max="16" width="18" customWidth="1"/>
    <col min="17" max="17" width="22" customWidth="1"/>
    <col min="18" max="18" width="20" customWidth="1"/>
    <col min="19" max="19" width="28" customWidth="1"/>
  </cols>
  <sheetData>
    <row r="1" spans="1:19" ht="30" customHeight="1" x14ac:dyDescent="0.25">
      <c r="A1" s="11" t="s">
        <v>0</v>
      </c>
      <c r="B1" s="11"/>
      <c r="C1" s="11"/>
      <c r="D1" s="11"/>
      <c r="E1" s="11"/>
      <c r="F1" s="11"/>
      <c r="G1" s="11"/>
      <c r="H1" s="11"/>
      <c r="I1" s="11"/>
      <c r="J1" s="11"/>
      <c r="K1" s="11"/>
      <c r="L1" s="11"/>
      <c r="M1" s="11"/>
      <c r="N1" s="11"/>
      <c r="O1" s="11"/>
      <c r="P1" s="11"/>
      <c r="Q1" s="11"/>
      <c r="R1" s="11"/>
      <c r="S1" s="11"/>
    </row>
    <row r="2" spans="1:19" ht="18" customHeight="1" x14ac:dyDescent="0.25">
      <c r="A2" s="10" t="s">
        <v>1</v>
      </c>
      <c r="B2" s="10"/>
      <c r="C2" s="10"/>
      <c r="D2" s="10"/>
      <c r="E2" s="10"/>
      <c r="F2" s="10"/>
      <c r="G2" s="10"/>
      <c r="H2" s="10"/>
      <c r="I2" s="10"/>
      <c r="J2" s="10"/>
      <c r="K2" s="10"/>
      <c r="L2" s="10"/>
      <c r="M2" s="10"/>
      <c r="N2" s="10"/>
      <c r="O2" s="10"/>
      <c r="P2" s="10"/>
      <c r="Q2" s="10"/>
      <c r="R2" s="10"/>
      <c r="S2" s="10"/>
    </row>
    <row r="3" spans="1:19" ht="6" customHeight="1" x14ac:dyDescent="0.25">
      <c r="A3" s="9"/>
      <c r="B3" s="9"/>
      <c r="C3" s="9"/>
      <c r="D3" s="9"/>
      <c r="E3" s="9"/>
      <c r="F3" s="9"/>
      <c r="G3" s="9"/>
      <c r="H3" s="9"/>
      <c r="I3" s="9"/>
      <c r="J3" s="9"/>
      <c r="K3" s="9"/>
      <c r="L3" s="9"/>
      <c r="M3" s="9"/>
      <c r="N3" s="9"/>
      <c r="O3" s="9"/>
      <c r="P3" s="9"/>
      <c r="Q3" s="9"/>
      <c r="R3" s="9"/>
      <c r="S3" s="9"/>
    </row>
    <row r="4" spans="1:19" ht="21.75" customHeight="1" x14ac:dyDescent="0.25">
      <c r="A4" s="8" t="s">
        <v>2</v>
      </c>
      <c r="B4" s="8"/>
      <c r="C4" s="8"/>
      <c r="D4" s="7" t="s">
        <v>3</v>
      </c>
      <c r="E4" s="7"/>
      <c r="F4" s="7"/>
      <c r="G4" s="6" t="s">
        <v>4</v>
      </c>
      <c r="H4" s="6"/>
      <c r="I4" s="6"/>
      <c r="J4" s="8" t="s">
        <v>5</v>
      </c>
      <c r="K4" s="8"/>
      <c r="L4" s="8"/>
      <c r="M4" s="7" t="s">
        <v>6</v>
      </c>
      <c r="N4" s="7"/>
      <c r="O4" s="7"/>
      <c r="P4" s="13" t="s">
        <v>7</v>
      </c>
      <c r="Q4" s="8" t="s">
        <v>8</v>
      </c>
      <c r="R4" s="8"/>
      <c r="S4" s="12" t="s">
        <v>9</v>
      </c>
    </row>
    <row r="5" spans="1:19" ht="42" customHeight="1" x14ac:dyDescent="0.25">
      <c r="A5" s="14" t="s">
        <v>10</v>
      </c>
      <c r="B5" s="14" t="s">
        <v>11</v>
      </c>
      <c r="C5" s="14" t="s">
        <v>12</v>
      </c>
      <c r="D5" s="14" t="s">
        <v>13</v>
      </c>
      <c r="E5" s="14" t="s">
        <v>14</v>
      </c>
      <c r="F5" s="14" t="s">
        <v>15</v>
      </c>
      <c r="G5" s="14" t="s">
        <v>16</v>
      </c>
      <c r="H5" s="14" t="s">
        <v>17</v>
      </c>
      <c r="I5" s="14" t="s">
        <v>18</v>
      </c>
      <c r="J5" s="14" t="s">
        <v>19</v>
      </c>
      <c r="K5" s="14" t="s">
        <v>20</v>
      </c>
      <c r="L5" s="14" t="s">
        <v>21</v>
      </c>
      <c r="M5" s="14" t="s">
        <v>22</v>
      </c>
      <c r="N5" s="14" t="s">
        <v>23</v>
      </c>
      <c r="O5" s="14" t="s">
        <v>24</v>
      </c>
      <c r="P5" s="14" t="s">
        <v>25</v>
      </c>
      <c r="Q5" s="14" t="s">
        <v>26</v>
      </c>
      <c r="R5" s="14" t="s">
        <v>27</v>
      </c>
      <c r="S5" s="14" t="s">
        <v>28</v>
      </c>
    </row>
    <row r="6" spans="1:19" ht="24" x14ac:dyDescent="0.25">
      <c r="A6" s="15" t="s">
        <v>29</v>
      </c>
      <c r="B6" s="16" t="s">
        <v>30</v>
      </c>
      <c r="C6" s="16" t="s">
        <v>31</v>
      </c>
      <c r="D6" s="15" t="s">
        <v>32</v>
      </c>
      <c r="E6" s="15" t="s">
        <v>33</v>
      </c>
      <c r="F6" s="16" t="s">
        <v>34</v>
      </c>
      <c r="G6" s="16" t="s">
        <v>35</v>
      </c>
      <c r="H6" s="16" t="s">
        <v>36</v>
      </c>
      <c r="I6" s="15" t="s">
        <v>37</v>
      </c>
      <c r="J6" s="15">
        <v>2</v>
      </c>
      <c r="K6" s="15">
        <v>1</v>
      </c>
      <c r="L6" s="17" t="s">
        <v>38</v>
      </c>
      <c r="M6" s="15">
        <v>4</v>
      </c>
      <c r="N6" s="15">
        <v>4</v>
      </c>
      <c r="O6" s="15">
        <v>3</v>
      </c>
      <c r="P6" s="18">
        <f t="shared" ref="P6:P35" si="0">IFERROR(ROUND((M6+N6+O6)/3,1),"")</f>
        <v>3.7</v>
      </c>
      <c r="Q6" s="16" t="s">
        <v>39</v>
      </c>
      <c r="R6" s="16" t="s">
        <v>40</v>
      </c>
    </row>
    <row r="7" spans="1:19" ht="24" x14ac:dyDescent="0.25">
      <c r="A7" s="19" t="s">
        <v>41</v>
      </c>
      <c r="B7" s="20" t="s">
        <v>42</v>
      </c>
      <c r="C7" s="20" t="s">
        <v>43</v>
      </c>
      <c r="D7" s="19" t="s">
        <v>44</v>
      </c>
      <c r="E7" s="19" t="s">
        <v>33</v>
      </c>
      <c r="F7" s="20" t="s">
        <v>34</v>
      </c>
      <c r="G7" s="20" t="s">
        <v>45</v>
      </c>
      <c r="H7" s="20" t="s">
        <v>46</v>
      </c>
      <c r="I7" s="19" t="s">
        <v>37</v>
      </c>
      <c r="J7" s="19">
        <v>4</v>
      </c>
      <c r="K7" s="19">
        <v>4</v>
      </c>
      <c r="L7" s="21" t="s">
        <v>38</v>
      </c>
      <c r="M7" s="19">
        <v>3</v>
      </c>
      <c r="N7" s="19">
        <v>2</v>
      </c>
      <c r="O7" s="19">
        <v>3</v>
      </c>
      <c r="P7" s="22">
        <f t="shared" si="0"/>
        <v>2.7</v>
      </c>
      <c r="Q7" s="20" t="s">
        <v>47</v>
      </c>
      <c r="R7" s="20"/>
    </row>
    <row r="8" spans="1:19" ht="24" x14ac:dyDescent="0.25">
      <c r="A8" s="15" t="s">
        <v>48</v>
      </c>
      <c r="B8" s="16" t="s">
        <v>49</v>
      </c>
      <c r="C8" s="16" t="s">
        <v>50</v>
      </c>
      <c r="D8" s="15" t="s">
        <v>32</v>
      </c>
      <c r="E8" s="15" t="s">
        <v>51</v>
      </c>
      <c r="F8" s="16" t="s">
        <v>34</v>
      </c>
      <c r="G8" s="16" t="s">
        <v>52</v>
      </c>
      <c r="H8" s="16" t="s">
        <v>53</v>
      </c>
      <c r="I8" s="15" t="s">
        <v>37</v>
      </c>
      <c r="J8" s="15">
        <v>2</v>
      </c>
      <c r="K8" s="15">
        <v>2</v>
      </c>
      <c r="L8" s="17" t="s">
        <v>54</v>
      </c>
      <c r="M8" s="15">
        <v>4</v>
      </c>
      <c r="N8" s="15">
        <v>4</v>
      </c>
      <c r="O8" s="15">
        <v>4</v>
      </c>
      <c r="P8" s="18">
        <f t="shared" si="0"/>
        <v>4</v>
      </c>
      <c r="Q8" s="16" t="s">
        <v>55</v>
      </c>
      <c r="R8" s="16" t="s">
        <v>56</v>
      </c>
    </row>
    <row r="9" spans="1:19" ht="24" x14ac:dyDescent="0.25">
      <c r="A9" s="19" t="s">
        <v>57</v>
      </c>
      <c r="B9" s="20" t="s">
        <v>58</v>
      </c>
      <c r="C9" s="20" t="s">
        <v>53</v>
      </c>
      <c r="D9" s="19" t="s">
        <v>32</v>
      </c>
      <c r="E9" s="19" t="s">
        <v>33</v>
      </c>
      <c r="F9" s="20" t="s">
        <v>34</v>
      </c>
      <c r="G9" s="20" t="s">
        <v>59</v>
      </c>
      <c r="H9" s="20" t="s">
        <v>36</v>
      </c>
      <c r="I9" s="19" t="s">
        <v>37</v>
      </c>
      <c r="J9" s="19">
        <v>1</v>
      </c>
      <c r="K9" s="19">
        <v>1</v>
      </c>
      <c r="L9" s="21" t="s">
        <v>38</v>
      </c>
      <c r="M9" s="19">
        <v>4</v>
      </c>
      <c r="N9" s="19">
        <v>4</v>
      </c>
      <c r="O9" s="19">
        <v>3</v>
      </c>
      <c r="P9" s="22">
        <f t="shared" si="0"/>
        <v>3.7</v>
      </c>
      <c r="Q9" s="20" t="s">
        <v>60</v>
      </c>
      <c r="R9" s="20"/>
    </row>
    <row r="10" spans="1:19" ht="24" x14ac:dyDescent="0.25">
      <c r="A10" s="15" t="s">
        <v>61</v>
      </c>
      <c r="B10" s="16" t="s">
        <v>62</v>
      </c>
      <c r="C10" s="16" t="s">
        <v>63</v>
      </c>
      <c r="D10" s="15" t="s">
        <v>44</v>
      </c>
      <c r="E10" s="15" t="s">
        <v>33</v>
      </c>
      <c r="F10" s="16" t="s">
        <v>34</v>
      </c>
      <c r="G10" s="16" t="s">
        <v>45</v>
      </c>
      <c r="H10" s="16" t="s">
        <v>64</v>
      </c>
      <c r="I10" s="15" t="s">
        <v>37</v>
      </c>
      <c r="J10" s="15">
        <v>4</v>
      </c>
      <c r="K10" s="15">
        <v>8</v>
      </c>
      <c r="L10" s="17" t="s">
        <v>54</v>
      </c>
      <c r="M10" s="15">
        <v>3</v>
      </c>
      <c r="N10" s="15">
        <v>3</v>
      </c>
      <c r="O10" s="15">
        <v>2</v>
      </c>
      <c r="P10" s="18">
        <f t="shared" si="0"/>
        <v>2.7</v>
      </c>
      <c r="Q10" s="16" t="s">
        <v>47</v>
      </c>
      <c r="R10" s="16"/>
    </row>
    <row r="11" spans="1:19" ht="36" x14ac:dyDescent="0.25">
      <c r="A11" s="19" t="s">
        <v>65</v>
      </c>
      <c r="B11" s="20" t="s">
        <v>66</v>
      </c>
      <c r="C11" s="20" t="s">
        <v>67</v>
      </c>
      <c r="D11" s="19" t="s">
        <v>32</v>
      </c>
      <c r="E11" s="19" t="s">
        <v>33</v>
      </c>
      <c r="F11" s="20" t="s">
        <v>68</v>
      </c>
      <c r="G11" s="20" t="s">
        <v>69</v>
      </c>
      <c r="H11" s="20" t="s">
        <v>70</v>
      </c>
      <c r="I11" s="19" t="s">
        <v>37</v>
      </c>
      <c r="J11" s="19">
        <v>4</v>
      </c>
      <c r="K11" s="19">
        <v>4</v>
      </c>
      <c r="L11" s="21" t="s">
        <v>71</v>
      </c>
      <c r="M11" s="19">
        <v>4</v>
      </c>
      <c r="N11" s="19">
        <v>4</v>
      </c>
      <c r="O11" s="19">
        <v>4</v>
      </c>
      <c r="P11" s="22">
        <f t="shared" si="0"/>
        <v>4</v>
      </c>
      <c r="Q11" s="20" t="s">
        <v>72</v>
      </c>
      <c r="R11" s="20" t="s">
        <v>73</v>
      </c>
    </row>
    <row r="12" spans="1:19" ht="24" x14ac:dyDescent="0.25">
      <c r="A12" s="15" t="s">
        <v>74</v>
      </c>
      <c r="B12" s="16" t="s">
        <v>75</v>
      </c>
      <c r="C12" s="16" t="s">
        <v>76</v>
      </c>
      <c r="D12" s="15" t="s">
        <v>77</v>
      </c>
      <c r="E12" s="15" t="s">
        <v>33</v>
      </c>
      <c r="F12" s="16" t="s">
        <v>34</v>
      </c>
      <c r="G12" s="16" t="s">
        <v>78</v>
      </c>
      <c r="H12" s="16" t="s">
        <v>79</v>
      </c>
      <c r="I12" s="15" t="s">
        <v>37</v>
      </c>
      <c r="J12" s="15">
        <v>8</v>
      </c>
      <c r="K12" s="15">
        <v>24</v>
      </c>
      <c r="L12" s="17" t="s">
        <v>80</v>
      </c>
      <c r="M12" s="15">
        <v>2</v>
      </c>
      <c r="N12" s="15">
        <v>2</v>
      </c>
      <c r="O12" s="15">
        <v>2</v>
      </c>
      <c r="P12" s="18">
        <f t="shared" si="0"/>
        <v>2</v>
      </c>
      <c r="Q12" s="16" t="s">
        <v>81</v>
      </c>
      <c r="R12" s="16"/>
    </row>
    <row r="13" spans="1:19" ht="24" x14ac:dyDescent="0.25">
      <c r="A13" s="19" t="s">
        <v>82</v>
      </c>
      <c r="B13" s="20" t="s">
        <v>83</v>
      </c>
      <c r="C13" s="20" t="s">
        <v>84</v>
      </c>
      <c r="D13" s="19" t="s">
        <v>44</v>
      </c>
      <c r="E13" s="19" t="s">
        <v>51</v>
      </c>
      <c r="F13" s="20" t="s">
        <v>34</v>
      </c>
      <c r="G13" s="20" t="s">
        <v>85</v>
      </c>
      <c r="H13" s="20" t="s">
        <v>86</v>
      </c>
      <c r="I13" s="19" t="s">
        <v>37</v>
      </c>
      <c r="J13" s="19">
        <v>4</v>
      </c>
      <c r="K13" s="19">
        <v>4</v>
      </c>
      <c r="L13" s="21" t="s">
        <v>38</v>
      </c>
      <c r="M13" s="19">
        <v>3</v>
      </c>
      <c r="N13" s="19">
        <v>2</v>
      </c>
      <c r="O13" s="19">
        <v>2</v>
      </c>
      <c r="P13" s="22">
        <f t="shared" si="0"/>
        <v>2.2999999999999998</v>
      </c>
      <c r="Q13" s="20" t="s">
        <v>47</v>
      </c>
      <c r="R13" s="20"/>
    </row>
    <row r="14" spans="1:19" ht="24" x14ac:dyDescent="0.25">
      <c r="A14" s="15" t="s">
        <v>87</v>
      </c>
      <c r="B14" s="16" t="s">
        <v>88</v>
      </c>
      <c r="C14" s="16" t="s">
        <v>67</v>
      </c>
      <c r="D14" s="15" t="s">
        <v>77</v>
      </c>
      <c r="E14" s="15" t="s">
        <v>89</v>
      </c>
      <c r="F14" s="16" t="s">
        <v>34</v>
      </c>
      <c r="G14" s="16" t="s">
        <v>90</v>
      </c>
      <c r="H14" s="16" t="s">
        <v>91</v>
      </c>
      <c r="I14" s="15" t="s">
        <v>37</v>
      </c>
      <c r="J14" s="15">
        <v>8</v>
      </c>
      <c r="K14" s="15">
        <v>24</v>
      </c>
      <c r="L14" s="17" t="s">
        <v>92</v>
      </c>
      <c r="M14" s="15">
        <v>2</v>
      </c>
      <c r="N14" s="15">
        <v>1</v>
      </c>
      <c r="O14" s="15">
        <v>1</v>
      </c>
      <c r="P14" s="18">
        <f t="shared" si="0"/>
        <v>1.3</v>
      </c>
      <c r="Q14" s="16" t="s">
        <v>93</v>
      </c>
      <c r="R14" s="16"/>
    </row>
    <row r="15" spans="1:19" ht="24" x14ac:dyDescent="0.25">
      <c r="A15" s="19" t="s">
        <v>94</v>
      </c>
      <c r="B15" s="20" t="s">
        <v>95</v>
      </c>
      <c r="C15" s="20" t="s">
        <v>96</v>
      </c>
      <c r="D15" s="19" t="s">
        <v>44</v>
      </c>
      <c r="E15" s="19" t="s">
        <v>97</v>
      </c>
      <c r="F15" s="20" t="s">
        <v>34</v>
      </c>
      <c r="G15" s="20" t="s">
        <v>52</v>
      </c>
      <c r="H15" s="20" t="s">
        <v>98</v>
      </c>
      <c r="I15" s="19" t="s">
        <v>37</v>
      </c>
      <c r="J15" s="19">
        <v>4</v>
      </c>
      <c r="K15" s="19">
        <v>8</v>
      </c>
      <c r="L15" s="21" t="s">
        <v>71</v>
      </c>
      <c r="M15" s="19">
        <v>3</v>
      </c>
      <c r="N15" s="19">
        <v>2</v>
      </c>
      <c r="O15" s="19">
        <v>2</v>
      </c>
      <c r="P15" s="22">
        <f t="shared" si="0"/>
        <v>2.2999999999999998</v>
      </c>
      <c r="Q15" s="20" t="s">
        <v>99</v>
      </c>
      <c r="R15" s="20" t="s">
        <v>100</v>
      </c>
    </row>
    <row r="16" spans="1:19" ht="24" x14ac:dyDescent="0.25">
      <c r="A16" s="23" t="s">
        <v>101</v>
      </c>
      <c r="B16" s="24"/>
      <c r="C16" s="24"/>
      <c r="D16" s="25"/>
      <c r="E16" s="25"/>
      <c r="F16" s="24"/>
      <c r="G16" s="24"/>
      <c r="H16" s="24"/>
      <c r="I16" s="15"/>
      <c r="J16" s="25"/>
      <c r="K16" s="25"/>
      <c r="L16" s="24"/>
      <c r="M16" s="25"/>
      <c r="N16" s="25"/>
      <c r="O16" s="25"/>
      <c r="P16" s="18">
        <f t="shared" si="0"/>
        <v>0</v>
      </c>
      <c r="Q16" s="24"/>
      <c r="R16" s="24"/>
      <c r="S16" s="24"/>
    </row>
    <row r="17" spans="1:19" ht="24" x14ac:dyDescent="0.25">
      <c r="A17" s="26" t="s">
        <v>102</v>
      </c>
      <c r="B17" s="27"/>
      <c r="C17" s="27"/>
      <c r="D17" s="28"/>
      <c r="E17" s="28"/>
      <c r="F17" s="27"/>
      <c r="G17" s="27"/>
      <c r="H17" s="27"/>
      <c r="I17" s="19"/>
      <c r="J17" s="28"/>
      <c r="K17" s="28"/>
      <c r="L17" s="27"/>
      <c r="M17" s="28"/>
      <c r="N17" s="28"/>
      <c r="O17" s="28"/>
      <c r="P17" s="22">
        <f t="shared" si="0"/>
        <v>0</v>
      </c>
      <c r="Q17" s="27"/>
      <c r="R17" s="27"/>
      <c r="S17" s="27"/>
    </row>
    <row r="18" spans="1:19" ht="24" x14ac:dyDescent="0.25">
      <c r="A18" s="23" t="s">
        <v>103</v>
      </c>
      <c r="B18" s="24"/>
      <c r="C18" s="24"/>
      <c r="D18" s="25"/>
      <c r="E18" s="25"/>
      <c r="F18" s="24"/>
      <c r="G18" s="24"/>
      <c r="H18" s="24"/>
      <c r="I18" s="15"/>
      <c r="J18" s="25"/>
      <c r="K18" s="25"/>
      <c r="L18" s="24"/>
      <c r="M18" s="25"/>
      <c r="N18" s="25"/>
      <c r="O18" s="25"/>
      <c r="P18" s="18">
        <f t="shared" si="0"/>
        <v>0</v>
      </c>
      <c r="Q18" s="24"/>
      <c r="R18" s="24"/>
      <c r="S18" s="24"/>
    </row>
    <row r="19" spans="1:19" ht="24" x14ac:dyDescent="0.25">
      <c r="A19" s="26" t="s">
        <v>104</v>
      </c>
      <c r="B19" s="27"/>
      <c r="C19" s="27"/>
      <c r="D19" s="28"/>
      <c r="E19" s="28"/>
      <c r="F19" s="27"/>
      <c r="G19" s="27"/>
      <c r="H19" s="27"/>
      <c r="I19" s="19"/>
      <c r="J19" s="28"/>
      <c r="K19" s="28"/>
      <c r="L19" s="27"/>
      <c r="M19" s="28"/>
      <c r="N19" s="28"/>
      <c r="O19" s="28"/>
      <c r="P19" s="22">
        <f t="shared" si="0"/>
        <v>0</v>
      </c>
      <c r="Q19" s="27"/>
      <c r="R19" s="27"/>
      <c r="S19" s="27"/>
    </row>
    <row r="20" spans="1:19" ht="24" x14ac:dyDescent="0.25">
      <c r="A20" s="23" t="s">
        <v>105</v>
      </c>
      <c r="B20" s="24"/>
      <c r="C20" s="24"/>
      <c r="D20" s="25"/>
      <c r="E20" s="25"/>
      <c r="F20" s="24"/>
      <c r="G20" s="24"/>
      <c r="H20" s="24"/>
      <c r="I20" s="15"/>
      <c r="J20" s="25"/>
      <c r="K20" s="25"/>
      <c r="L20" s="24"/>
      <c r="M20" s="25"/>
      <c r="N20" s="25"/>
      <c r="O20" s="25"/>
      <c r="P20" s="18">
        <f t="shared" si="0"/>
        <v>0</v>
      </c>
      <c r="Q20" s="24"/>
      <c r="R20" s="24"/>
      <c r="S20" s="24"/>
    </row>
    <row r="21" spans="1:19" ht="24" x14ac:dyDescent="0.25">
      <c r="A21" s="26" t="s">
        <v>106</v>
      </c>
      <c r="B21" s="27"/>
      <c r="C21" s="27"/>
      <c r="D21" s="28"/>
      <c r="E21" s="28"/>
      <c r="F21" s="27"/>
      <c r="G21" s="27"/>
      <c r="H21" s="27"/>
      <c r="I21" s="19"/>
      <c r="J21" s="28"/>
      <c r="K21" s="28"/>
      <c r="L21" s="27"/>
      <c r="M21" s="28"/>
      <c r="N21" s="28"/>
      <c r="O21" s="28"/>
      <c r="P21" s="22">
        <f t="shared" si="0"/>
        <v>0</v>
      </c>
      <c r="Q21" s="27"/>
      <c r="R21" s="27"/>
      <c r="S21" s="27"/>
    </row>
    <row r="22" spans="1:19" ht="24" x14ac:dyDescent="0.25">
      <c r="A22" s="23" t="s">
        <v>107</v>
      </c>
      <c r="B22" s="24"/>
      <c r="C22" s="24"/>
      <c r="D22" s="25"/>
      <c r="E22" s="25"/>
      <c r="F22" s="24"/>
      <c r="G22" s="24"/>
      <c r="H22" s="24"/>
      <c r="I22" s="15"/>
      <c r="J22" s="25"/>
      <c r="K22" s="25"/>
      <c r="L22" s="24"/>
      <c r="M22" s="25"/>
      <c r="N22" s="25"/>
      <c r="O22" s="25"/>
      <c r="P22" s="18">
        <f t="shared" si="0"/>
        <v>0</v>
      </c>
      <c r="Q22" s="24"/>
      <c r="R22" s="24"/>
      <c r="S22" s="24"/>
    </row>
    <row r="23" spans="1:19" ht="24" x14ac:dyDescent="0.25">
      <c r="A23" s="26" t="s">
        <v>108</v>
      </c>
      <c r="B23" s="27"/>
      <c r="C23" s="27"/>
      <c r="D23" s="28"/>
      <c r="E23" s="28"/>
      <c r="F23" s="27"/>
      <c r="G23" s="27"/>
      <c r="H23" s="27"/>
      <c r="I23" s="19"/>
      <c r="J23" s="28"/>
      <c r="K23" s="28"/>
      <c r="L23" s="27"/>
      <c r="M23" s="28"/>
      <c r="N23" s="28"/>
      <c r="O23" s="28"/>
      <c r="P23" s="22">
        <f t="shared" si="0"/>
        <v>0</v>
      </c>
      <c r="Q23" s="27"/>
      <c r="R23" s="27"/>
      <c r="S23" s="27"/>
    </row>
    <row r="24" spans="1:19" ht="24" x14ac:dyDescent="0.25">
      <c r="A24" s="23" t="s">
        <v>109</v>
      </c>
      <c r="B24" s="24"/>
      <c r="C24" s="24"/>
      <c r="D24" s="25"/>
      <c r="E24" s="25"/>
      <c r="F24" s="24"/>
      <c r="G24" s="24"/>
      <c r="H24" s="24"/>
      <c r="I24" s="15"/>
      <c r="J24" s="25"/>
      <c r="K24" s="25"/>
      <c r="L24" s="24"/>
      <c r="M24" s="25"/>
      <c r="N24" s="25"/>
      <c r="O24" s="25"/>
      <c r="P24" s="18">
        <f t="shared" si="0"/>
        <v>0</v>
      </c>
      <c r="Q24" s="24"/>
      <c r="R24" s="24"/>
      <c r="S24" s="24"/>
    </row>
    <row r="25" spans="1:19" ht="24" x14ac:dyDescent="0.25">
      <c r="A25" s="26" t="s">
        <v>110</v>
      </c>
      <c r="B25" s="27"/>
      <c r="C25" s="27"/>
      <c r="D25" s="28"/>
      <c r="E25" s="28"/>
      <c r="F25" s="27"/>
      <c r="G25" s="27"/>
      <c r="H25" s="27"/>
      <c r="I25" s="19"/>
      <c r="J25" s="28"/>
      <c r="K25" s="28"/>
      <c r="L25" s="27"/>
      <c r="M25" s="28"/>
      <c r="N25" s="28"/>
      <c r="O25" s="28"/>
      <c r="P25" s="22">
        <f t="shared" si="0"/>
        <v>0</v>
      </c>
      <c r="Q25" s="27"/>
      <c r="R25" s="27"/>
      <c r="S25" s="27"/>
    </row>
    <row r="26" spans="1:19" ht="24" x14ac:dyDescent="0.25">
      <c r="A26" s="23" t="s">
        <v>111</v>
      </c>
      <c r="B26" s="24"/>
      <c r="C26" s="24"/>
      <c r="D26" s="25"/>
      <c r="E26" s="25"/>
      <c r="F26" s="24"/>
      <c r="G26" s="24"/>
      <c r="H26" s="24"/>
      <c r="I26" s="15"/>
      <c r="J26" s="25"/>
      <c r="K26" s="25"/>
      <c r="L26" s="24"/>
      <c r="M26" s="25"/>
      <c r="N26" s="25"/>
      <c r="O26" s="25"/>
      <c r="P26" s="18">
        <f t="shared" si="0"/>
        <v>0</v>
      </c>
      <c r="Q26" s="24"/>
      <c r="R26" s="24"/>
      <c r="S26" s="24"/>
    </row>
    <row r="27" spans="1:19" ht="24" x14ac:dyDescent="0.25">
      <c r="A27" s="26" t="s">
        <v>112</v>
      </c>
      <c r="B27" s="27"/>
      <c r="C27" s="27"/>
      <c r="D27" s="28"/>
      <c r="E27" s="28"/>
      <c r="F27" s="27"/>
      <c r="G27" s="27"/>
      <c r="H27" s="27"/>
      <c r="I27" s="19"/>
      <c r="J27" s="28"/>
      <c r="K27" s="28"/>
      <c r="L27" s="27"/>
      <c r="M27" s="28"/>
      <c r="N27" s="28"/>
      <c r="O27" s="28"/>
      <c r="P27" s="22">
        <f t="shared" si="0"/>
        <v>0</v>
      </c>
      <c r="Q27" s="27"/>
      <c r="R27" s="27"/>
      <c r="S27" s="27"/>
    </row>
    <row r="28" spans="1:19" ht="24" x14ac:dyDescent="0.25">
      <c r="A28" s="23" t="s">
        <v>113</v>
      </c>
      <c r="B28" s="24"/>
      <c r="C28" s="24"/>
      <c r="D28" s="25"/>
      <c r="E28" s="25"/>
      <c r="F28" s="24"/>
      <c r="G28" s="24"/>
      <c r="H28" s="24"/>
      <c r="I28" s="15"/>
      <c r="J28" s="25"/>
      <c r="K28" s="25"/>
      <c r="L28" s="24"/>
      <c r="M28" s="25"/>
      <c r="N28" s="25"/>
      <c r="O28" s="25"/>
      <c r="P28" s="18">
        <f t="shared" si="0"/>
        <v>0</v>
      </c>
      <c r="Q28" s="24"/>
      <c r="R28" s="24"/>
      <c r="S28" s="24"/>
    </row>
    <row r="29" spans="1:19" ht="24" x14ac:dyDescent="0.25">
      <c r="A29" s="26" t="s">
        <v>114</v>
      </c>
      <c r="B29" s="27"/>
      <c r="C29" s="27"/>
      <c r="D29" s="28"/>
      <c r="E29" s="28"/>
      <c r="F29" s="27"/>
      <c r="G29" s="27"/>
      <c r="H29" s="27"/>
      <c r="I29" s="19"/>
      <c r="J29" s="28"/>
      <c r="K29" s="28"/>
      <c r="L29" s="27"/>
      <c r="M29" s="28"/>
      <c r="N29" s="28"/>
      <c r="O29" s="28"/>
      <c r="P29" s="22">
        <f t="shared" si="0"/>
        <v>0</v>
      </c>
      <c r="Q29" s="27"/>
      <c r="R29" s="27"/>
      <c r="S29" s="27"/>
    </row>
    <row r="30" spans="1:19" ht="24" x14ac:dyDescent="0.25">
      <c r="A30" s="23" t="s">
        <v>115</v>
      </c>
      <c r="B30" s="24"/>
      <c r="C30" s="24"/>
      <c r="D30" s="25"/>
      <c r="E30" s="25"/>
      <c r="F30" s="24"/>
      <c r="G30" s="24"/>
      <c r="H30" s="24"/>
      <c r="I30" s="15"/>
      <c r="J30" s="25"/>
      <c r="K30" s="25"/>
      <c r="L30" s="24"/>
      <c r="M30" s="25"/>
      <c r="N30" s="25"/>
      <c r="O30" s="25"/>
      <c r="P30" s="18">
        <f t="shared" si="0"/>
        <v>0</v>
      </c>
      <c r="Q30" s="24"/>
      <c r="R30" s="24"/>
      <c r="S30" s="24"/>
    </row>
    <row r="31" spans="1:19" ht="24" x14ac:dyDescent="0.25">
      <c r="A31" s="26" t="s">
        <v>116</v>
      </c>
      <c r="B31" s="27"/>
      <c r="C31" s="27"/>
      <c r="D31" s="28"/>
      <c r="E31" s="28"/>
      <c r="F31" s="27"/>
      <c r="G31" s="27"/>
      <c r="H31" s="27"/>
      <c r="I31" s="19"/>
      <c r="J31" s="28"/>
      <c r="K31" s="28"/>
      <c r="L31" s="27"/>
      <c r="M31" s="28"/>
      <c r="N31" s="28"/>
      <c r="O31" s="28"/>
      <c r="P31" s="22">
        <f t="shared" si="0"/>
        <v>0</v>
      </c>
      <c r="Q31" s="27"/>
      <c r="R31" s="27"/>
      <c r="S31" s="27"/>
    </row>
    <row r="32" spans="1:19" ht="24" x14ac:dyDescent="0.25">
      <c r="A32" s="23" t="s">
        <v>117</v>
      </c>
      <c r="B32" s="24"/>
      <c r="C32" s="24"/>
      <c r="D32" s="25"/>
      <c r="E32" s="25"/>
      <c r="F32" s="24"/>
      <c r="G32" s="24"/>
      <c r="H32" s="24"/>
      <c r="I32" s="15"/>
      <c r="J32" s="25"/>
      <c r="K32" s="25"/>
      <c r="L32" s="24"/>
      <c r="M32" s="25"/>
      <c r="N32" s="25"/>
      <c r="O32" s="25"/>
      <c r="P32" s="18">
        <f t="shared" si="0"/>
        <v>0</v>
      </c>
      <c r="Q32" s="24"/>
      <c r="R32" s="24"/>
      <c r="S32" s="24"/>
    </row>
    <row r="33" spans="1:19" ht="24" x14ac:dyDescent="0.25">
      <c r="A33" s="26" t="s">
        <v>118</v>
      </c>
      <c r="B33" s="27"/>
      <c r="C33" s="27"/>
      <c r="D33" s="28"/>
      <c r="E33" s="28"/>
      <c r="F33" s="27"/>
      <c r="G33" s="27"/>
      <c r="H33" s="27"/>
      <c r="I33" s="19"/>
      <c r="J33" s="28"/>
      <c r="K33" s="28"/>
      <c r="L33" s="27"/>
      <c r="M33" s="28"/>
      <c r="N33" s="28"/>
      <c r="O33" s="28"/>
      <c r="P33" s="22">
        <f t="shared" si="0"/>
        <v>0</v>
      </c>
      <c r="Q33" s="27"/>
      <c r="R33" s="27"/>
      <c r="S33" s="27"/>
    </row>
    <row r="34" spans="1:19" ht="24" x14ac:dyDescent="0.25">
      <c r="A34" s="23" t="s">
        <v>119</v>
      </c>
      <c r="B34" s="24"/>
      <c r="C34" s="24"/>
      <c r="D34" s="25"/>
      <c r="E34" s="25"/>
      <c r="F34" s="24"/>
      <c r="G34" s="24"/>
      <c r="H34" s="24"/>
      <c r="I34" s="15"/>
      <c r="J34" s="25"/>
      <c r="K34" s="25"/>
      <c r="L34" s="24"/>
      <c r="M34" s="25"/>
      <c r="N34" s="25"/>
      <c r="O34" s="25"/>
      <c r="P34" s="18">
        <f t="shared" si="0"/>
        <v>0</v>
      </c>
      <c r="Q34" s="24"/>
      <c r="R34" s="24"/>
      <c r="S34" s="24"/>
    </row>
    <row r="35" spans="1:19" ht="24" x14ac:dyDescent="0.25">
      <c r="A35" s="26" t="s">
        <v>120</v>
      </c>
      <c r="B35" s="27"/>
      <c r="C35" s="27"/>
      <c r="D35" s="28"/>
      <c r="E35" s="28"/>
      <c r="F35" s="27"/>
      <c r="G35" s="27"/>
      <c r="H35" s="27"/>
      <c r="I35" s="19"/>
      <c r="J35" s="28"/>
      <c r="K35" s="28"/>
      <c r="L35" s="27"/>
      <c r="M35" s="28"/>
      <c r="N35" s="28"/>
      <c r="O35" s="28"/>
      <c r="P35" s="22">
        <f t="shared" si="0"/>
        <v>0</v>
      </c>
      <c r="Q35" s="27"/>
      <c r="R35" s="27"/>
      <c r="S35" s="27"/>
    </row>
  </sheetData>
  <mergeCells count="9">
    <mergeCell ref="A1:S1"/>
    <mergeCell ref="A2:S2"/>
    <mergeCell ref="A3:S3"/>
    <mergeCell ref="A4:C4"/>
    <mergeCell ref="D4:F4"/>
    <mergeCell ref="G4:I4"/>
    <mergeCell ref="J4:L4"/>
    <mergeCell ref="M4:O4"/>
    <mergeCell ref="Q4:R4"/>
  </mergeCells>
  <conditionalFormatting sqref="D6:D35">
    <cfRule type="cellIs" dxfId="3" priority="2" operator="equal">
      <formula>"4-Crítico"</formula>
    </cfRule>
    <cfRule type="cellIs" dxfId="2" priority="3" operator="equal">
      <formula>"3-Alto"</formula>
    </cfRule>
    <cfRule type="cellIs" dxfId="1" priority="4" operator="equal">
      <formula>"2-Medio"</formula>
    </cfRule>
    <cfRule type="cellIs" dxfId="0" priority="5" operator="equal">
      <formula>"1-Bajo"</formula>
    </cfRule>
  </conditionalFormatting>
  <conditionalFormatting sqref="P6:P35">
    <cfRule type="colorScale" priority="6">
      <colorScale>
        <cfvo type="num" val="1"/>
        <cfvo type="num" val="2.5"/>
        <cfvo type="num" val="4"/>
        <color rgb="FF70AD47"/>
        <color rgb="FFFFD966"/>
        <color rgb="FFC00000"/>
      </colorScale>
    </cfRule>
  </conditionalFormatting>
  <dataValidations count="5">
    <dataValidation type="list" allowBlank="1" sqref="D6:D105" xr:uid="{00000000-0002-0000-0000-000000000000}">
      <formula1>"4-Crítico,3-Alto,2-Medio,1-Bajo"</formula1>
      <formula2>0</formula2>
    </dataValidation>
    <dataValidation type="list" allowBlank="1" sqref="E6:E105" xr:uid="{00000000-0002-0000-0000-000001000000}">
      <formula1>"GV.OC,ID.AM,PR.AA,PR.AT,PR.DS,PR.IR,PR.PS,DE.AE,DE.CM,RS.AN,RS.CO,RS.MA,RC.RP,RC.CO"</formula1>
      <formula2>0</formula2>
    </dataValidation>
    <dataValidation type="list" allowBlank="1" sqref="I6:I105" xr:uid="{00000000-0002-0000-0000-000002000000}">
      <formula1>"Sí,No,Parcial"</formula1>
      <formula2>0</formula2>
    </dataValidation>
    <dataValidation type="whole" allowBlank="1" sqref="M6:O105" xr:uid="{00000000-0002-0000-0000-000003000000}">
      <formula1>1</formula1>
      <formula2>4</formula2>
    </dataValidation>
    <dataValidation type="list" allowBlank="1" sqref="Q6:Q105" xr:uid="{00000000-0002-0000-0000-000004000000}">
      <formula1>"Restaurar desde respaldo,Reconstruir desde cero,Failover a nube,Servidor alterno,Manual temporal"</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0"/>
  <sheetViews>
    <sheetView showGridLines="0" zoomScaleNormal="100" workbookViewId="0"/>
  </sheetViews>
  <sheetFormatPr baseColWidth="10" defaultColWidth="8.7109375" defaultRowHeight="15" x14ac:dyDescent="0.25"/>
  <cols>
    <col min="1" max="1" width="8" customWidth="1"/>
    <col min="2" max="2" width="20" customWidth="1"/>
    <col min="3" max="6" width="14" customWidth="1"/>
    <col min="7" max="9" width="16" customWidth="1"/>
    <col min="10" max="10" width="20" customWidth="1"/>
  </cols>
  <sheetData>
    <row r="1" spans="1:10" ht="30" customHeight="1" x14ac:dyDescent="0.25">
      <c r="A1" s="11" t="s">
        <v>121</v>
      </c>
      <c r="B1" s="11"/>
      <c r="C1" s="11"/>
      <c r="D1" s="11"/>
      <c r="E1" s="11"/>
      <c r="F1" s="11"/>
      <c r="G1" s="11"/>
      <c r="H1" s="11"/>
      <c r="I1" s="11"/>
      <c r="J1" s="11"/>
    </row>
    <row r="2" spans="1:10" ht="15.75" customHeight="1" x14ac:dyDescent="0.25">
      <c r="A2" s="10" t="s">
        <v>122</v>
      </c>
      <c r="B2" s="10"/>
      <c r="C2" s="10"/>
      <c r="D2" s="10"/>
      <c r="E2" s="10"/>
      <c r="F2" s="10"/>
      <c r="G2" s="10"/>
      <c r="H2" s="10"/>
      <c r="I2" s="10"/>
      <c r="J2" s="10"/>
    </row>
    <row r="3" spans="1:10" ht="7.5" customHeight="1" x14ac:dyDescent="0.25">
      <c r="A3" s="9"/>
      <c r="B3" s="9"/>
      <c r="C3" s="9"/>
      <c r="D3" s="9"/>
      <c r="E3" s="9"/>
      <c r="F3" s="9"/>
      <c r="G3" s="9"/>
      <c r="H3" s="9"/>
      <c r="I3" s="9"/>
      <c r="J3" s="9"/>
    </row>
    <row r="4" spans="1:10" ht="19.5" customHeight="1" x14ac:dyDescent="0.25">
      <c r="A4" s="5" t="s">
        <v>123</v>
      </c>
      <c r="B4" s="5"/>
      <c r="C4" s="5"/>
      <c r="E4" s="5" t="s">
        <v>124</v>
      </c>
      <c r="F4" s="5"/>
      <c r="G4" s="5"/>
    </row>
    <row r="5" spans="1:10" ht="18" customHeight="1" x14ac:dyDescent="0.25">
      <c r="A5" s="29" t="s">
        <v>32</v>
      </c>
      <c r="B5" s="30">
        <f>COUNTIF(BIA!D6:D105,"4-Crítico")</f>
        <v>4</v>
      </c>
      <c r="C5" s="20" t="s">
        <v>125</v>
      </c>
      <c r="E5" s="31" t="s">
        <v>126</v>
      </c>
      <c r="F5" s="30">
        <f>COUNTIF(BIA!I6:I105,"Sí")</f>
        <v>10</v>
      </c>
      <c r="G5" s="20" t="s">
        <v>125</v>
      </c>
    </row>
    <row r="6" spans="1:10" ht="18" customHeight="1" x14ac:dyDescent="0.25">
      <c r="A6" s="32" t="s">
        <v>44</v>
      </c>
      <c r="B6" s="30">
        <f>COUNTIF(BIA!D6:D105,"3-Alto")</f>
        <v>4</v>
      </c>
      <c r="C6" s="20" t="s">
        <v>125</v>
      </c>
      <c r="E6" s="29" t="s">
        <v>127</v>
      </c>
      <c r="F6" s="30">
        <f>COUNTIF(BIA!I6:I105,"No")</f>
        <v>0</v>
      </c>
      <c r="G6" s="20" t="s">
        <v>125</v>
      </c>
    </row>
    <row r="7" spans="1:10" ht="18" customHeight="1" x14ac:dyDescent="0.25">
      <c r="A7" s="33" t="s">
        <v>77</v>
      </c>
      <c r="B7" s="30">
        <f>COUNTIF(BIA!D6:D105,"2-Medio")</f>
        <v>2</v>
      </c>
      <c r="C7" s="20" t="s">
        <v>125</v>
      </c>
      <c r="E7" s="33" t="s">
        <v>128</v>
      </c>
      <c r="F7" s="30">
        <f>COUNTIF(BIA!I6:I105,"Parcial")</f>
        <v>0</v>
      </c>
      <c r="G7" s="20" t="s">
        <v>125</v>
      </c>
    </row>
    <row r="8" spans="1:10" ht="18" customHeight="1" x14ac:dyDescent="0.25">
      <c r="A8" s="31" t="s">
        <v>129</v>
      </c>
      <c r="B8" s="30">
        <f>COUNTIF(BIA!D6:D105,"1-Bajo")</f>
        <v>0</v>
      </c>
      <c r="C8" s="20" t="s">
        <v>125</v>
      </c>
    </row>
    <row r="9" spans="1:10" ht="24" x14ac:dyDescent="0.25">
      <c r="A9" s="34" t="s">
        <v>130</v>
      </c>
      <c r="B9" s="35">
        <f>SUM(B5:B8)</f>
        <v>10</v>
      </c>
      <c r="C9" s="36" t="s">
        <v>131</v>
      </c>
    </row>
    <row r="11" spans="1:10" ht="19.5" customHeight="1" x14ac:dyDescent="0.25">
      <c r="A11" s="4" t="s">
        <v>132</v>
      </c>
      <c r="B11" s="4"/>
      <c r="C11" s="4"/>
      <c r="E11" s="3" t="s">
        <v>133</v>
      </c>
      <c r="F11" s="3"/>
      <c r="G11" s="3"/>
      <c r="H11" s="3"/>
      <c r="I11" s="3"/>
      <c r="J11" s="3"/>
    </row>
    <row r="12" spans="1:10" ht="18" customHeight="1" x14ac:dyDescent="0.25">
      <c r="A12" s="29" t="s">
        <v>32</v>
      </c>
      <c r="B12" s="37">
        <f>IFERROR(AVERAGEIF(BIA!D6:D105,"4-Crítico",BIA!J6:J105),"-")</f>
        <v>2.25</v>
      </c>
      <c r="C12" s="20" t="s">
        <v>134</v>
      </c>
      <c r="E12" s="38" t="s">
        <v>10</v>
      </c>
      <c r="F12" s="38" t="s">
        <v>135</v>
      </c>
      <c r="G12" s="38" t="s">
        <v>13</v>
      </c>
      <c r="H12" s="38" t="s">
        <v>136</v>
      </c>
      <c r="I12" s="38" t="s">
        <v>137</v>
      </c>
    </row>
    <row r="13" spans="1:10" ht="15.75" customHeight="1" x14ac:dyDescent="0.25">
      <c r="A13" s="32" t="s">
        <v>44</v>
      </c>
      <c r="B13" s="37">
        <f>IFERROR(AVERAGEIF(BIA!D6:D105,"3-Alto",BIA!J6:J105),"-")</f>
        <v>4</v>
      </c>
      <c r="C13" s="20" t="s">
        <v>134</v>
      </c>
      <c r="E13" s="39" t="s">
        <v>138</v>
      </c>
      <c r="F13" s="40"/>
      <c r="G13" s="40"/>
      <c r="H13" s="40"/>
      <c r="I13" s="40"/>
    </row>
    <row r="14" spans="1:10" ht="15.75" customHeight="1" x14ac:dyDescent="0.25">
      <c r="A14" s="33" t="s">
        <v>77</v>
      </c>
      <c r="B14" s="37">
        <f>IFERROR(AVERAGEIF(BIA!D6:D105,"2-Medio",BIA!J6:J105),"-")</f>
        <v>8</v>
      </c>
      <c r="C14" s="20" t="s">
        <v>134</v>
      </c>
      <c r="E14" s="41"/>
      <c r="F14" s="28"/>
      <c r="G14" s="28"/>
      <c r="H14" s="28"/>
      <c r="I14" s="28"/>
    </row>
    <row r="15" spans="1:10" ht="15.75" customHeight="1" x14ac:dyDescent="0.25">
      <c r="A15" s="31" t="s">
        <v>129</v>
      </c>
      <c r="B15" s="37" t="str">
        <f>IFERROR(AVERAGEIF(BIA!D6:D105,"1-Bajo",BIA!J6:J105),"-")</f>
        <v>-</v>
      </c>
      <c r="C15" s="20" t="s">
        <v>134</v>
      </c>
      <c r="E15" s="42"/>
      <c r="F15" s="25"/>
      <c r="G15" s="25"/>
      <c r="H15" s="25"/>
      <c r="I15" s="25"/>
    </row>
    <row r="16" spans="1:10" ht="15.75" customHeight="1" x14ac:dyDescent="0.25">
      <c r="E16" s="41"/>
      <c r="F16" s="28"/>
      <c r="G16" s="28"/>
      <c r="H16" s="28"/>
      <c r="I16" s="28"/>
    </row>
    <row r="17" spans="5:9" ht="15.75" customHeight="1" x14ac:dyDescent="0.25">
      <c r="E17" s="42"/>
      <c r="F17" s="25"/>
      <c r="G17" s="25"/>
      <c r="H17" s="25"/>
      <c r="I17" s="25"/>
    </row>
    <row r="18" spans="5:9" ht="15.75" customHeight="1" x14ac:dyDescent="0.25">
      <c r="E18" s="41"/>
      <c r="F18" s="28"/>
      <c r="G18" s="28"/>
      <c r="H18" s="28"/>
      <c r="I18" s="28"/>
    </row>
    <row r="19" spans="5:9" ht="15.75" customHeight="1" x14ac:dyDescent="0.25">
      <c r="E19" s="42"/>
      <c r="F19" s="25"/>
      <c r="G19" s="25"/>
      <c r="H19" s="25"/>
      <c r="I19" s="25"/>
    </row>
    <row r="20" spans="5:9" ht="15.75" customHeight="1" x14ac:dyDescent="0.25">
      <c r="E20" s="41"/>
      <c r="F20" s="28"/>
      <c r="G20" s="28"/>
      <c r="H20" s="28"/>
      <c r="I20" s="28"/>
    </row>
  </sheetData>
  <mergeCells count="7">
    <mergeCell ref="A11:C11"/>
    <mergeCell ref="E11:J11"/>
    <mergeCell ref="A1:J1"/>
    <mergeCell ref="A2:J2"/>
    <mergeCell ref="A3:J3"/>
    <mergeCell ref="A4:C4"/>
    <mergeCell ref="E4:G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8"/>
  <sheetViews>
    <sheetView showGridLines="0" zoomScaleNormal="100" workbookViewId="0"/>
  </sheetViews>
  <sheetFormatPr baseColWidth="10" defaultColWidth="8.7109375" defaultRowHeight="15" x14ac:dyDescent="0.25"/>
  <cols>
    <col min="1" max="1" width="8" customWidth="1"/>
    <col min="2" max="2" width="24" customWidth="1"/>
    <col min="3" max="5" width="28" customWidth="1"/>
    <col min="6" max="7" width="22" customWidth="1"/>
  </cols>
  <sheetData>
    <row r="1" spans="1:7" ht="27.75" customHeight="1" x14ac:dyDescent="0.25">
      <c r="A1" s="2" t="s">
        <v>139</v>
      </c>
      <c r="B1" s="2"/>
      <c r="C1" s="2"/>
      <c r="D1" s="2"/>
      <c r="E1" s="2"/>
      <c r="F1" s="2"/>
      <c r="G1" s="2"/>
    </row>
    <row r="3" spans="1:7" ht="19.5" customHeight="1" x14ac:dyDescent="0.25">
      <c r="A3" s="4" t="s">
        <v>140</v>
      </c>
      <c r="B3" s="4"/>
      <c r="C3" s="4"/>
      <c r="D3" s="4"/>
      <c r="E3" s="4"/>
      <c r="F3" s="4"/>
      <c r="G3" s="4"/>
    </row>
    <row r="4" spans="1:7" ht="18" customHeight="1" x14ac:dyDescent="0.25">
      <c r="A4" s="38" t="s">
        <v>141</v>
      </c>
      <c r="B4" s="38" t="s">
        <v>142</v>
      </c>
      <c r="C4" s="38" t="s">
        <v>143</v>
      </c>
      <c r="D4" s="38" t="s">
        <v>144</v>
      </c>
      <c r="E4" s="38" t="s">
        <v>145</v>
      </c>
      <c r="F4" s="38" t="s">
        <v>146</v>
      </c>
    </row>
    <row r="5" spans="1:7" ht="30" customHeight="1" x14ac:dyDescent="0.25">
      <c r="A5" s="43" t="s">
        <v>147</v>
      </c>
      <c r="B5" s="43" t="s">
        <v>148</v>
      </c>
      <c r="C5" s="16" t="s">
        <v>149</v>
      </c>
      <c r="D5" s="16" t="s">
        <v>150</v>
      </c>
      <c r="E5" s="16" t="s">
        <v>151</v>
      </c>
      <c r="F5" s="16" t="s">
        <v>152</v>
      </c>
    </row>
    <row r="6" spans="1:7" ht="30" customHeight="1" x14ac:dyDescent="0.25">
      <c r="A6" s="44" t="s">
        <v>153</v>
      </c>
      <c r="B6" s="44" t="s">
        <v>154</v>
      </c>
      <c r="C6" s="16" t="s">
        <v>155</v>
      </c>
      <c r="D6" s="16" t="s">
        <v>156</v>
      </c>
      <c r="E6" s="16" t="s">
        <v>157</v>
      </c>
      <c r="F6" s="16" t="s">
        <v>158</v>
      </c>
    </row>
    <row r="7" spans="1:7" ht="30" customHeight="1" x14ac:dyDescent="0.25">
      <c r="A7" s="45" t="s">
        <v>159</v>
      </c>
      <c r="B7" s="45" t="s">
        <v>160</v>
      </c>
      <c r="C7" s="16" t="s">
        <v>161</v>
      </c>
      <c r="D7" s="16" t="s">
        <v>162</v>
      </c>
      <c r="E7" s="16" t="s">
        <v>163</v>
      </c>
      <c r="F7" s="16" t="s">
        <v>164</v>
      </c>
    </row>
    <row r="8" spans="1:7" ht="30" customHeight="1" x14ac:dyDescent="0.25">
      <c r="A8" s="46" t="s">
        <v>165</v>
      </c>
      <c r="B8" s="46" t="s">
        <v>166</v>
      </c>
      <c r="C8" s="16" t="s">
        <v>167</v>
      </c>
      <c r="D8" s="16" t="s">
        <v>168</v>
      </c>
      <c r="E8" s="16" t="s">
        <v>169</v>
      </c>
      <c r="F8" s="16" t="s">
        <v>170</v>
      </c>
    </row>
    <row r="11" spans="1:7" ht="19.5" customHeight="1" x14ac:dyDescent="0.25">
      <c r="A11" s="4" t="s">
        <v>171</v>
      </c>
      <c r="B11" s="4"/>
      <c r="C11" s="4"/>
      <c r="D11" s="4"/>
      <c r="E11" s="4"/>
      <c r="F11" s="4"/>
      <c r="G11" s="4"/>
    </row>
    <row r="12" spans="1:7" ht="18" customHeight="1" x14ac:dyDescent="0.25">
      <c r="A12" s="38" t="s">
        <v>172</v>
      </c>
      <c r="B12" s="38" t="s">
        <v>141</v>
      </c>
      <c r="C12" s="38" t="s">
        <v>173</v>
      </c>
      <c r="D12" s="38" t="s">
        <v>174</v>
      </c>
      <c r="E12" s="38" t="s">
        <v>175</v>
      </c>
    </row>
    <row r="13" spans="1:7" ht="31.5" customHeight="1" x14ac:dyDescent="0.25">
      <c r="A13" s="43" t="s">
        <v>147</v>
      </c>
      <c r="B13" s="43" t="s">
        <v>148</v>
      </c>
      <c r="C13" s="16" t="s">
        <v>176</v>
      </c>
      <c r="D13" s="16" t="s">
        <v>177</v>
      </c>
      <c r="E13" s="16" t="s">
        <v>178</v>
      </c>
    </row>
    <row r="14" spans="1:7" ht="31.5" customHeight="1" x14ac:dyDescent="0.25">
      <c r="A14" s="44" t="s">
        <v>153</v>
      </c>
      <c r="B14" s="44" t="s">
        <v>154</v>
      </c>
      <c r="C14" s="16" t="s">
        <v>179</v>
      </c>
      <c r="D14" s="16" t="s">
        <v>180</v>
      </c>
      <c r="E14" s="16" t="s">
        <v>181</v>
      </c>
    </row>
    <row r="15" spans="1:7" ht="31.5" customHeight="1" x14ac:dyDescent="0.25">
      <c r="A15" s="45" t="s">
        <v>159</v>
      </c>
      <c r="B15" s="45" t="s">
        <v>160</v>
      </c>
      <c r="C15" s="16" t="s">
        <v>182</v>
      </c>
      <c r="D15" s="16" t="s">
        <v>183</v>
      </c>
      <c r="E15" s="16" t="s">
        <v>184</v>
      </c>
    </row>
    <row r="16" spans="1:7" ht="31.5" customHeight="1" x14ac:dyDescent="0.25">
      <c r="A16" s="46" t="s">
        <v>165</v>
      </c>
      <c r="B16" s="46" t="s">
        <v>166</v>
      </c>
      <c r="C16" s="16" t="s">
        <v>185</v>
      </c>
      <c r="D16" s="16" t="s">
        <v>186</v>
      </c>
      <c r="E16" s="16" t="s">
        <v>187</v>
      </c>
    </row>
    <row r="19" spans="1:7" ht="19.5" customHeight="1" x14ac:dyDescent="0.25">
      <c r="A19" s="4" t="s">
        <v>188</v>
      </c>
      <c r="B19" s="4"/>
      <c r="C19" s="4"/>
      <c r="D19" s="4"/>
      <c r="E19" s="4"/>
      <c r="F19" s="4"/>
      <c r="G19" s="4"/>
    </row>
    <row r="20" spans="1:7" ht="18" customHeight="1" x14ac:dyDescent="0.25">
      <c r="A20" s="38" t="s">
        <v>189</v>
      </c>
      <c r="B20" s="38" t="s">
        <v>190</v>
      </c>
      <c r="C20" s="38" t="s">
        <v>191</v>
      </c>
    </row>
    <row r="21" spans="1:7" ht="15.75" customHeight="1" x14ac:dyDescent="0.25">
      <c r="A21" s="47" t="s">
        <v>192</v>
      </c>
      <c r="B21" s="48" t="s">
        <v>193</v>
      </c>
      <c r="C21" s="48" t="s">
        <v>194</v>
      </c>
    </row>
    <row r="22" spans="1:7" ht="15.75" customHeight="1" x14ac:dyDescent="0.25">
      <c r="A22" s="49" t="s">
        <v>195</v>
      </c>
      <c r="B22" s="50" t="s">
        <v>196</v>
      </c>
      <c r="C22" s="50" t="s">
        <v>197</v>
      </c>
    </row>
    <row r="23" spans="1:7" ht="15.75" customHeight="1" x14ac:dyDescent="0.25">
      <c r="A23" s="47" t="s">
        <v>33</v>
      </c>
      <c r="B23" s="48" t="s">
        <v>198</v>
      </c>
      <c r="C23" s="48" t="s">
        <v>199</v>
      </c>
    </row>
    <row r="24" spans="1:7" ht="15.75" customHeight="1" x14ac:dyDescent="0.25">
      <c r="A24" s="49" t="s">
        <v>51</v>
      </c>
      <c r="B24" s="50" t="s">
        <v>200</v>
      </c>
      <c r="C24" s="50" t="s">
        <v>201</v>
      </c>
    </row>
    <row r="25" spans="1:7" ht="15.75" customHeight="1" x14ac:dyDescent="0.25">
      <c r="A25" s="47" t="s">
        <v>97</v>
      </c>
      <c r="B25" s="48" t="s">
        <v>202</v>
      </c>
      <c r="C25" s="48" t="s">
        <v>203</v>
      </c>
    </row>
    <row r="26" spans="1:7" ht="15.75" customHeight="1" x14ac:dyDescent="0.25">
      <c r="A26" s="49" t="s">
        <v>204</v>
      </c>
      <c r="B26" s="50" t="s">
        <v>205</v>
      </c>
      <c r="C26" s="50" t="s">
        <v>206</v>
      </c>
    </row>
    <row r="27" spans="1:7" ht="15.75" customHeight="1" x14ac:dyDescent="0.25">
      <c r="A27" s="47" t="s">
        <v>89</v>
      </c>
      <c r="B27" s="48" t="s">
        <v>207</v>
      </c>
      <c r="C27" s="48" t="s">
        <v>208</v>
      </c>
    </row>
    <row r="28" spans="1:7" ht="15.75" customHeight="1" x14ac:dyDescent="0.25">
      <c r="A28" s="49" t="s">
        <v>209</v>
      </c>
      <c r="B28" s="50" t="s">
        <v>210</v>
      </c>
      <c r="C28" s="50" t="s">
        <v>211</v>
      </c>
    </row>
  </sheetData>
  <mergeCells count="4">
    <mergeCell ref="A1:G1"/>
    <mergeCell ref="A3:G3"/>
    <mergeCell ref="A11:G11"/>
    <mergeCell ref="A19:G1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
  <sheetViews>
    <sheetView showGridLines="0" zoomScaleNormal="100" workbookViewId="0"/>
  </sheetViews>
  <sheetFormatPr baseColWidth="10" defaultColWidth="8.7109375" defaultRowHeight="15" x14ac:dyDescent="0.25"/>
  <cols>
    <col min="1" max="1" width="4" customWidth="1"/>
    <col min="2" max="2" width="26" customWidth="1"/>
    <col min="3" max="3" width="60" customWidth="1"/>
  </cols>
  <sheetData>
    <row r="1" spans="1:3" ht="27.75" customHeight="1" x14ac:dyDescent="0.25">
      <c r="A1" s="2" t="s">
        <v>212</v>
      </c>
      <c r="B1" s="2"/>
      <c r="C1" s="2"/>
    </row>
    <row r="3" spans="1:3" ht="15.75" customHeight="1" x14ac:dyDescent="0.25">
      <c r="A3" s="51"/>
      <c r="B3" s="1" t="s">
        <v>213</v>
      </c>
      <c r="C3" s="1"/>
    </row>
    <row r="4" spans="1:3" ht="39.75" customHeight="1" x14ac:dyDescent="0.25">
      <c r="A4" s="52"/>
      <c r="B4" s="53" t="s">
        <v>214</v>
      </c>
      <c r="C4" s="50" t="s">
        <v>215</v>
      </c>
    </row>
    <row r="5" spans="1:3" ht="39.75" customHeight="1" x14ac:dyDescent="0.25">
      <c r="A5" s="54"/>
      <c r="B5" s="55" t="s">
        <v>216</v>
      </c>
      <c r="C5" s="48" t="s">
        <v>217</v>
      </c>
    </row>
    <row r="6" spans="1:3" ht="39.75" customHeight="1" x14ac:dyDescent="0.25">
      <c r="A6" s="52"/>
      <c r="B6" s="53"/>
      <c r="C6" s="50"/>
    </row>
    <row r="7" spans="1:3" ht="15.75" customHeight="1" x14ac:dyDescent="0.25">
      <c r="A7" s="51"/>
      <c r="B7" s="1" t="s">
        <v>218</v>
      </c>
      <c r="C7" s="1"/>
    </row>
    <row r="8" spans="1:3" ht="39.75" customHeight="1" x14ac:dyDescent="0.25">
      <c r="A8" s="52" t="s">
        <v>165</v>
      </c>
      <c r="B8" s="53" t="s">
        <v>219</v>
      </c>
      <c r="C8" s="50" t="s">
        <v>220</v>
      </c>
    </row>
    <row r="9" spans="1:3" ht="39.75" customHeight="1" x14ac:dyDescent="0.25">
      <c r="A9" s="54" t="s">
        <v>159</v>
      </c>
      <c r="B9" s="55" t="s">
        <v>13</v>
      </c>
      <c r="C9" s="48" t="s">
        <v>221</v>
      </c>
    </row>
    <row r="10" spans="1:3" ht="39.75" customHeight="1" x14ac:dyDescent="0.25">
      <c r="A10" s="52" t="s">
        <v>153</v>
      </c>
      <c r="B10" s="53" t="s">
        <v>222</v>
      </c>
      <c r="C10" s="50" t="s">
        <v>223</v>
      </c>
    </row>
    <row r="11" spans="1:3" ht="39.75" customHeight="1" x14ac:dyDescent="0.25">
      <c r="A11" s="54" t="s">
        <v>147</v>
      </c>
      <c r="B11" s="55" t="s">
        <v>224</v>
      </c>
      <c r="C11" s="48" t="s">
        <v>225</v>
      </c>
    </row>
    <row r="12" spans="1:3" ht="39.75" customHeight="1" x14ac:dyDescent="0.25">
      <c r="A12" s="52" t="s">
        <v>226</v>
      </c>
      <c r="B12" s="53" t="s">
        <v>227</v>
      </c>
      <c r="C12" s="50" t="s">
        <v>228</v>
      </c>
    </row>
    <row r="13" spans="1:3" ht="39.75" customHeight="1" x14ac:dyDescent="0.25">
      <c r="A13" s="54" t="s">
        <v>229</v>
      </c>
      <c r="B13" s="55" t="s">
        <v>230</v>
      </c>
      <c r="C13" s="48" t="s">
        <v>231</v>
      </c>
    </row>
    <row r="14" spans="1:3" ht="39.75" customHeight="1" x14ac:dyDescent="0.25">
      <c r="A14" s="52" t="s">
        <v>232</v>
      </c>
      <c r="B14" s="53" t="s">
        <v>233</v>
      </c>
      <c r="C14" s="50" t="s">
        <v>234</v>
      </c>
    </row>
    <row r="15" spans="1:3" ht="39.75" customHeight="1" x14ac:dyDescent="0.25">
      <c r="A15" s="54"/>
      <c r="B15" s="55"/>
      <c r="C15" s="48"/>
    </row>
    <row r="16" spans="1:3" ht="15.75" customHeight="1" x14ac:dyDescent="0.25">
      <c r="A16" s="51"/>
      <c r="B16" s="1" t="s">
        <v>235</v>
      </c>
      <c r="C16" s="1"/>
    </row>
    <row r="17" spans="1:3" ht="39.75" customHeight="1" x14ac:dyDescent="0.25">
      <c r="A17" s="54"/>
      <c r="B17" s="55" t="s">
        <v>236</v>
      </c>
      <c r="C17" s="48" t="s">
        <v>237</v>
      </c>
    </row>
    <row r="18" spans="1:3" ht="39.75" customHeight="1" x14ac:dyDescent="0.25">
      <c r="A18" s="52"/>
      <c r="B18" s="53" t="s">
        <v>238</v>
      </c>
      <c r="C18" s="50" t="s">
        <v>239</v>
      </c>
    </row>
    <row r="19" spans="1:3" ht="39.75" customHeight="1" x14ac:dyDescent="0.25">
      <c r="A19" s="54"/>
      <c r="B19" s="55"/>
      <c r="C19" s="48"/>
    </row>
    <row r="20" spans="1:3" ht="39.75" customHeight="1" x14ac:dyDescent="0.25">
      <c r="A20" s="52"/>
      <c r="B20" s="53" t="s">
        <v>240</v>
      </c>
      <c r="C20" s="50" t="s">
        <v>241</v>
      </c>
    </row>
  </sheetData>
  <mergeCells count="4">
    <mergeCell ref="A1:C1"/>
    <mergeCell ref="B3:C3"/>
    <mergeCell ref="B7:C7"/>
    <mergeCell ref="B16:C1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BIA</vt:lpstr>
      <vt:lpstr>Dashboard</vt:lpstr>
      <vt:lpstr>Escalas de Referencia</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mvergara@openitnet.com</dc:creator>
  <dc:description/>
  <cp:lastModifiedBy>Mauricio Vergara</cp:lastModifiedBy>
  <cp:revision>0</cp:revision>
  <dcterms:created xsi:type="dcterms:W3CDTF">2026-04-24T23:43:41Z</dcterms:created>
  <dcterms:modified xsi:type="dcterms:W3CDTF">2026-07-14T15:33:58Z</dcterms:modified>
  <dc:language>en-US</dc:language>
</cp:coreProperties>
</file>