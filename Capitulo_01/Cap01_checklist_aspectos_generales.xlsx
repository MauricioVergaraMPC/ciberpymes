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Verificación" sheetId="1" state="visible" r:id="rId3"/>
    <sheet name="Dashboard" sheetId="2" state="visible" r:id="rId4"/>
    <sheet name="Instructiv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<sst xmlns="http://schemas.openxmlformats.org/spreadsheetml/2006/main" count="126" uniqueCount="75">
  <si>
    <t xml:space="preserve">CIBERPROTECCIÓN PARA PyMES · Lista de Verificación — Capítulo 1: Aspectos Generales</t>
  </si>
  <si>
    <t xml:space="preserve">Marco: NIST CSF 2.0  ·  Instrucciones: marque Completado / En Progreso / Pendiente en la columna Estado</t>
  </si>
  <si>
    <t xml:space="preserve">#</t>
  </si>
  <si>
    <t xml:space="preserve">Actividad</t>
  </si>
  <si>
    <t xml:space="preserve">Función NIST CSF</t>
  </si>
  <si>
    <t xml:space="preserve">Estado</t>
  </si>
  <si>
    <t xml:space="preserve">Responsable</t>
  </si>
  <si>
    <t xml:space="preserve">Fecha límite</t>
  </si>
  <si>
    <t xml:space="preserve">Observaciones</t>
  </si>
  <si>
    <t xml:space="preserve">▌  GOBERNANZA</t>
  </si>
  <si>
    <t xml:space="preserve">Definir la Política de Ciberseguridad</t>
  </si>
  <si>
    <t xml:space="preserve">Gobernanza</t>
  </si>
  <si>
    <t xml:space="preserve">Pendiente</t>
  </si>
  <si>
    <t xml:space="preserve">Obtener aprobación de la alta dirección</t>
  </si>
  <si>
    <t xml:space="preserve">▌  IDENTIFICACIÓN</t>
  </si>
  <si>
    <t xml:space="preserve">Establecer convención para nomenclatura de objetos</t>
  </si>
  <si>
    <t xml:space="preserve">Identificación</t>
  </si>
  <si>
    <t xml:space="preserve">Crear cuentas para administración de ciberseguridad</t>
  </si>
  <si>
    <t xml:space="preserve">Establecer controles de acceso e identidad</t>
  </si>
  <si>
    <t xml:space="preserve">Realizar inventario inicial de activos</t>
  </si>
  <si>
    <t xml:space="preserve">Establecer formatos para Políticas y Procedimientos</t>
  </si>
  <si>
    <t xml:space="preserve">▌  PROTECCIÓN</t>
  </si>
  <si>
    <t xml:space="preserve">Capacitar a empleados y colaboradores</t>
  </si>
  <si>
    <t xml:space="preserve">Protección</t>
  </si>
  <si>
    <t xml:space="preserve">Auditar seguridad física</t>
  </si>
  <si>
    <t xml:space="preserve">Definir arquitectura de red segmentada</t>
  </si>
  <si>
    <t xml:space="preserve">Adquirir almacenamientos externos</t>
  </si>
  <si>
    <t xml:space="preserve">Desplegar servicio para Gestión de Configuración (CMDB)</t>
  </si>
  <si>
    <t xml:space="preserve">Desplegar servicio para Gestión de Mantenimientos (CMMS)</t>
  </si>
  <si>
    <t xml:space="preserve">Desplegar servicio para Gestión de Registros (LMS)</t>
  </si>
  <si>
    <t xml:space="preserve">▌  DETECCIÓN</t>
  </si>
  <si>
    <t xml:space="preserve">Habilitar suscripciones a boletines de alerta</t>
  </si>
  <si>
    <t xml:space="preserve">Detección</t>
  </si>
  <si>
    <t xml:space="preserve">Desplegar servicios de monitorización (NMS)</t>
  </si>
  <si>
    <t xml:space="preserve">Desplegar servicio de Detección y Respuesta (EDR)</t>
  </si>
  <si>
    <t xml:space="preserve">Desplegar servidor para Gestión de Eventos (SIEM)</t>
  </si>
  <si>
    <t xml:space="preserve">Instalar Tablero de Control (Dashboard)</t>
  </si>
  <si>
    <t xml:space="preserve">▌  RESPUESTA</t>
  </si>
  <si>
    <t xml:space="preserve">Desplegar servicio para Gestión de Solicitudes (ITSM)</t>
  </si>
  <si>
    <t xml:space="preserve">Respuesta</t>
  </si>
  <si>
    <t xml:space="preserve">Desplegar servicio de Base de Conocimientos (KBS)</t>
  </si>
  <si>
    <t xml:space="preserve">Diseñar Plan de Recuperación de Desastres (DRP)</t>
  </si>
  <si>
    <t xml:space="preserve">▌  RECUPERACIÓN</t>
  </si>
  <si>
    <t xml:space="preserve">Definir procedimientos de restauración de servicios</t>
  </si>
  <si>
    <t xml:space="preserve">Recuperación</t>
  </si>
  <si>
    <t xml:space="preserve">Configurar mecanismos de respaldo y verificación</t>
  </si>
  <si>
    <t xml:space="preserve">Documentar proceso de análisis post-mortem</t>
  </si>
  <si>
    <t xml:space="preserve">DASHBOARD — Capítulo 1: Aspectos Generales</t>
  </si>
  <si>
    <t xml:space="preserve">Progreso de implementación por función NIST CSF 2.0</t>
  </si>
  <si>
    <t xml:space="preserve">Total ítems</t>
  </si>
  <si>
    <t xml:space="preserve">Completado</t>
  </si>
  <si>
    <t xml:space="preserve">En Progreso</t>
  </si>
  <si>
    <t xml:space="preserve">% Avance</t>
  </si>
  <si>
    <t xml:space="preserve">TOTAL</t>
  </si>
  <si>
    <t xml:space="preserve">INSTRUCTIVO DE USO — Lista de Verificación Cap. 1</t>
  </si>
  <si>
    <t xml:space="preserve">Columna #</t>
  </si>
  <si>
    <t xml:space="preserve">Número secuencial del ítem dentro del capítulo.</t>
  </si>
  <si>
    <t xml:space="preserve">Columna Actividad</t>
  </si>
  <si>
    <t xml:space="preserve">Descripción de la tarea a ejecutar según el libro.</t>
  </si>
  <si>
    <t xml:space="preserve">Columna Función</t>
  </si>
  <si>
    <t xml:space="preserve">Función del marco NIST CSF 2.0 a la que pertenece el ítem.</t>
  </si>
  <si>
    <t xml:space="preserve">Columna Estado</t>
  </si>
  <si>
    <t xml:space="preserve">Seleccione una opción del menú desplegable: Completado / En Progreso / Pendiente. El color de la celda se actualiza automáticamente.</t>
  </si>
  <si>
    <t xml:space="preserve">Columna Responsable</t>
  </si>
  <si>
    <t xml:space="preserve">Nombre o cargo de la persona a cargo de esta actividad.</t>
  </si>
  <si>
    <t xml:space="preserve">Columna Fecha límite</t>
  </si>
  <si>
    <t xml:space="preserve">Fecha estimada o comprometida para completar el ítem (DD/MM/AAAA).</t>
  </si>
  <si>
    <t xml:space="preserve">Columna Observaciones</t>
  </si>
  <si>
    <t xml:space="preserve">Notas libres: bloqueos, dependencias, referencias a tickets, etc.</t>
  </si>
  <si>
    <t xml:space="preserve">Hoja Dashboard</t>
  </si>
  <si>
    <t xml:space="preserve">Resumen automático del avance por función NIST CSF 2.0. Se actualiza al cambiar los estados en la lista principal.</t>
  </si>
  <si>
    <t xml:space="preserve">Uso como entregable</t>
  </si>
  <si>
    <t xml:space="preserve">Agregue columnas de Responsable y Fecha límite para convertir esta lista en instrumento formal de seguimiento de proyecto, apto para presentar a la dirección como evidencia de avance.</t>
  </si>
  <si>
    <t xml:space="preserve">Actualización</t>
  </si>
  <si>
    <t xml:space="preserve">Este archivo corresponde al Capítulo 1 — Aspectos Generales. Repositorio: github.com/MauricioVergaraMPC/ciberpymes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</si>
</sst>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85FA5"/>
        <bgColor rgb="FF2E6DA4"/>
      </patternFill>
    </fill>
    <fill>
      <patternFill patternType="solid">
        <fgColor rgb="FFB5D4F4"/>
        <bgColor rgb="FF99CCFF"/>
      </patternFill>
    </fill>
    <fill>
      <patternFill patternType="solid">
        <fgColor rgb="FF5F5E5A"/>
        <bgColor rgb="FF3B6D11"/>
      </patternFill>
    </fill>
    <fill>
      <patternFill patternType="solid">
        <fgColor rgb="FFF5F5F3"/>
        <bgColor rgb="FFFFFFFF"/>
      </patternFill>
    </fill>
    <fill>
      <patternFill patternType="solid">
        <fgColor rgb="FFFFFFFF"/>
        <bgColor rgb="FFF5F5F3"/>
      </patternFill>
    </fill>
    <fill>
      <patternFill patternType="solid">
        <fgColor rgb="FF2E6DA4"/>
        <bgColor rgb="FF185FA5"/>
      </patternFill>
    </fill>
    <fill>
      <patternFill patternType="solid">
        <fgColor rgb="FF1F6B3A"/>
        <bgColor rgb="FF3B6D11"/>
      </patternFill>
    </fill>
    <fill>
      <patternFill patternType="solid">
        <fgColor rgb="FF7B3F00"/>
        <bgColor rgb="FFA32D2D"/>
      </patternFill>
    </fill>
    <fill>
      <patternFill patternType="solid">
        <fgColor rgb="FFA32D2D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5F5E5A"/>
      </left>
      <right style="thin">
        <color rgb="FF5F5E5A"/>
      </right>
      <top style="thin">
        <color rgb="FF5F5E5A"/>
      </top>
      <bottom style="thin">
        <color rgb="FF5F5E5A"/>
      </bottom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3B6D11"/>
      </font>
      <fill>
        <patternFill>
          <bgColor rgb="FFD6EAD6"/>
        </patternFill>
      </fill>
    </dxf>
    <dxf>
      <font>
        <name val="Arial"/>
        <charset val="1"/>
        <family val="0"/>
        <b val="1"/>
        <color rgb="FFBA7517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A32D2D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BA7517"/>
      <rgbColor rgb="FF800080"/>
      <rgbColor rgb="FF008080"/>
      <rgbColor rgb="FFD3D1C7"/>
      <rgbColor rgb="FF808080"/>
      <rgbColor rgb="FF9999FF"/>
      <rgbColor rgb="FF7B3F00"/>
      <rgbColor rgb="FFFFF3CD"/>
      <rgbColor rgb="FFF5F5F3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AD6"/>
      <rgbColor rgb="FFFFFF99"/>
      <rgbColor rgb="FF99CCFF"/>
      <rgbColor rgb="FFFF99CC"/>
      <rgbColor rgb="FFCC99FF"/>
      <rgbColor rgb="FFF8D7DA"/>
      <rgbColor rgb="FF2E6DA4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B6D11"/>
      <rgbColor rgb="FF003300"/>
      <rgbColor rgb="FF333300"/>
      <rgbColor rgb="FFA32D2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5" min="3" style="0" width="18"/>
    <col collapsed="false" customWidth="true" hidden="false" outlineLevel="0" max="6" min="6" style="0" width="16"/>
    <col collapsed="false" customWidth="true" hidden="false" outlineLevel="0" max="7" min="7" style="0" width="3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8" hidden="false" customHeight="true" outlineLevel="0" collapsed="false">
      <c r="A4" s="4" t="s">
        <v>9</v>
      </c>
      <c r="B4" s="4"/>
      <c r="C4" s="4"/>
      <c r="D4" s="4"/>
      <c r="E4" s="4"/>
      <c r="F4" s="4"/>
      <c r="G4" s="4"/>
    </row>
    <row r="5" customFormat="false" ht="27.75" hidden="false" customHeight="true" outlineLevel="0" collapsed="false">
      <c r="A5" s="5" t="n">
        <v>1</v>
      </c>
      <c r="B5" s="6" t="s">
        <v>10</v>
      </c>
      <c r="C5" s="7" t="s">
        <v>11</v>
      </c>
      <c r="D5" s="7" t="s">
        <v>12</v>
      </c>
      <c r="E5" s="8"/>
      <c r="F5" s="8"/>
      <c r="G5" s="8"/>
    </row>
    <row r="6" customFormat="false" ht="27.75" hidden="false" customHeight="true" outlineLevel="0" collapsed="false">
      <c r="A6" s="5" t="n">
        <v>2</v>
      </c>
      <c r="B6" s="9" t="s">
        <v>13</v>
      </c>
      <c r="C6" s="10" t="s">
        <v>11</v>
      </c>
      <c r="D6" s="10" t="s">
        <v>12</v>
      </c>
      <c r="E6" s="11"/>
      <c r="F6" s="11"/>
      <c r="G6" s="11"/>
    </row>
    <row r="7" customFormat="false" ht="18" hidden="false" customHeight="true" outlineLevel="0" collapsed="false">
      <c r="A7" s="12" t="s">
        <v>14</v>
      </c>
      <c r="B7" s="12"/>
      <c r="C7" s="12"/>
      <c r="D7" s="12"/>
      <c r="E7" s="12"/>
      <c r="F7" s="12"/>
      <c r="G7" s="12"/>
    </row>
    <row r="8" customFormat="false" ht="27.75" hidden="false" customHeight="true" outlineLevel="0" collapsed="false">
      <c r="A8" s="13" t="n">
        <v>3</v>
      </c>
      <c r="B8" s="6" t="s">
        <v>15</v>
      </c>
      <c r="C8" s="7" t="s">
        <v>16</v>
      </c>
      <c r="D8" s="7" t="s">
        <v>12</v>
      </c>
      <c r="E8" s="8"/>
      <c r="F8" s="8"/>
      <c r="G8" s="8"/>
    </row>
    <row r="9" customFormat="false" ht="27.75" hidden="false" customHeight="true" outlineLevel="0" collapsed="false">
      <c r="A9" s="13" t="n">
        <v>4</v>
      </c>
      <c r="B9" s="9" t="s">
        <v>17</v>
      </c>
      <c r="C9" s="10" t="s">
        <v>16</v>
      </c>
      <c r="D9" s="10" t="s">
        <v>12</v>
      </c>
      <c r="E9" s="11"/>
      <c r="F9" s="11"/>
      <c r="G9" s="11"/>
    </row>
    <row r="10" customFormat="false" ht="27.75" hidden="false" customHeight="true" outlineLevel="0" collapsed="false">
      <c r="A10" s="13" t="n">
        <v>5</v>
      </c>
      <c r="B10" s="6" t="s">
        <v>18</v>
      </c>
      <c r="C10" s="7" t="s">
        <v>16</v>
      </c>
      <c r="D10" s="7" t="s">
        <v>12</v>
      </c>
      <c r="E10" s="8"/>
      <c r="F10" s="8"/>
      <c r="G10" s="8"/>
    </row>
    <row r="11" customFormat="false" ht="27.75" hidden="false" customHeight="true" outlineLevel="0" collapsed="false">
      <c r="A11" s="13" t="n">
        <v>6</v>
      </c>
      <c r="B11" s="9" t="s">
        <v>19</v>
      </c>
      <c r="C11" s="10" t="s">
        <v>16</v>
      </c>
      <c r="D11" s="10" t="s">
        <v>12</v>
      </c>
      <c r="E11" s="11"/>
      <c r="F11" s="11"/>
      <c r="G11" s="11"/>
    </row>
    <row r="12" customFormat="false" ht="27.75" hidden="false" customHeight="true" outlineLevel="0" collapsed="false">
      <c r="A12" s="13" t="n">
        <v>7</v>
      </c>
      <c r="B12" s="6" t="s">
        <v>20</v>
      </c>
      <c r="C12" s="7" t="s">
        <v>16</v>
      </c>
      <c r="D12" s="7" t="s">
        <v>12</v>
      </c>
      <c r="E12" s="8"/>
      <c r="F12" s="8"/>
      <c r="G12" s="8"/>
    </row>
    <row r="13" customFormat="false" ht="18" hidden="false" customHeight="true" outlineLevel="0" collapsed="false">
      <c r="A13" s="14" t="s">
        <v>21</v>
      </c>
      <c r="B13" s="14"/>
      <c r="C13" s="14"/>
      <c r="D13" s="14"/>
      <c r="E13" s="14"/>
      <c r="F13" s="14"/>
      <c r="G13" s="14"/>
    </row>
    <row r="14" customFormat="false" ht="27.75" hidden="false" customHeight="true" outlineLevel="0" collapsed="false">
      <c r="A14" s="15" t="n">
        <v>8</v>
      </c>
      <c r="B14" s="9" t="s">
        <v>22</v>
      </c>
      <c r="C14" s="10" t="s">
        <v>23</v>
      </c>
      <c r="D14" s="10" t="s">
        <v>12</v>
      </c>
      <c r="E14" s="11"/>
      <c r="F14" s="11"/>
      <c r="G14" s="11"/>
    </row>
    <row r="15" customFormat="false" ht="27.75" hidden="false" customHeight="true" outlineLevel="0" collapsed="false">
      <c r="A15" s="15" t="n">
        <v>9</v>
      </c>
      <c r="B15" s="6" t="s">
        <v>24</v>
      </c>
      <c r="C15" s="7" t="s">
        <v>23</v>
      </c>
      <c r="D15" s="7" t="s">
        <v>12</v>
      </c>
      <c r="E15" s="8"/>
      <c r="F15" s="8"/>
      <c r="G15" s="8"/>
    </row>
    <row r="16" customFormat="false" ht="27.75" hidden="false" customHeight="true" outlineLevel="0" collapsed="false">
      <c r="A16" s="15" t="n">
        <v>10</v>
      </c>
      <c r="B16" s="9" t="s">
        <v>25</v>
      </c>
      <c r="C16" s="10" t="s">
        <v>23</v>
      </c>
      <c r="D16" s="10" t="s">
        <v>12</v>
      </c>
      <c r="E16" s="11"/>
      <c r="F16" s="11"/>
      <c r="G16" s="11"/>
    </row>
    <row r="17" customFormat="false" ht="27.75" hidden="false" customHeight="true" outlineLevel="0" collapsed="false">
      <c r="A17" s="15" t="n">
        <v>11</v>
      </c>
      <c r="B17" s="6" t="s">
        <v>26</v>
      </c>
      <c r="C17" s="7" t="s">
        <v>23</v>
      </c>
      <c r="D17" s="7" t="s">
        <v>12</v>
      </c>
      <c r="E17" s="8"/>
      <c r="F17" s="8"/>
      <c r="G17" s="8"/>
    </row>
    <row r="18" customFormat="false" ht="27.75" hidden="false" customHeight="true" outlineLevel="0" collapsed="false">
      <c r="A18" s="15" t="n">
        <v>12</v>
      </c>
      <c r="B18" s="9" t="s">
        <v>27</v>
      </c>
      <c r="C18" s="10" t="s">
        <v>23</v>
      </c>
      <c r="D18" s="10" t="s">
        <v>12</v>
      </c>
      <c r="E18" s="11"/>
      <c r="F18" s="11"/>
      <c r="G18" s="11"/>
    </row>
    <row r="19" customFormat="false" ht="27.75" hidden="false" customHeight="true" outlineLevel="0" collapsed="false">
      <c r="A19" s="15" t="n">
        <v>13</v>
      </c>
      <c r="B19" s="6" t="s">
        <v>28</v>
      </c>
      <c r="C19" s="7" t="s">
        <v>23</v>
      </c>
      <c r="D19" s="7" t="s">
        <v>12</v>
      </c>
      <c r="E19" s="8"/>
      <c r="F19" s="8"/>
      <c r="G19" s="8"/>
    </row>
    <row r="20" customFormat="false" ht="27.75" hidden="false" customHeight="true" outlineLevel="0" collapsed="false">
      <c r="A20" s="15" t="n">
        <v>14</v>
      </c>
      <c r="B20" s="9" t="s">
        <v>29</v>
      </c>
      <c r="C20" s="10" t="s">
        <v>23</v>
      </c>
      <c r="D20" s="10" t="s">
        <v>12</v>
      </c>
      <c r="E20" s="11"/>
      <c r="F20" s="11"/>
      <c r="G20" s="11"/>
    </row>
    <row r="21" customFormat="false" ht="18" hidden="false" customHeight="true" outlineLevel="0" collapsed="false">
      <c r="A21" s="16" t="s">
        <v>30</v>
      </c>
      <c r="B21" s="16"/>
      <c r="C21" s="16"/>
      <c r="D21" s="16"/>
      <c r="E21" s="16"/>
      <c r="F21" s="16"/>
      <c r="G21" s="16"/>
    </row>
    <row r="22" customFormat="false" ht="27.75" hidden="false" customHeight="true" outlineLevel="0" collapsed="false">
      <c r="A22" s="17" t="n">
        <v>15</v>
      </c>
      <c r="B22" s="6" t="s">
        <v>31</v>
      </c>
      <c r="C22" s="7" t="s">
        <v>32</v>
      </c>
      <c r="D22" s="7" t="s">
        <v>12</v>
      </c>
      <c r="E22" s="8"/>
      <c r="F22" s="8"/>
      <c r="G22" s="8"/>
    </row>
    <row r="23" customFormat="false" ht="27.75" hidden="false" customHeight="true" outlineLevel="0" collapsed="false">
      <c r="A23" s="17" t="n">
        <v>16</v>
      </c>
      <c r="B23" s="9" t="s">
        <v>33</v>
      </c>
      <c r="C23" s="10" t="s">
        <v>32</v>
      </c>
      <c r="D23" s="10" t="s">
        <v>12</v>
      </c>
      <c r="E23" s="11"/>
      <c r="F23" s="11"/>
      <c r="G23" s="11"/>
    </row>
    <row r="24" customFormat="false" ht="27.75" hidden="false" customHeight="true" outlineLevel="0" collapsed="false">
      <c r="A24" s="17" t="n">
        <v>17</v>
      </c>
      <c r="B24" s="6" t="s">
        <v>34</v>
      </c>
      <c r="C24" s="7" t="s">
        <v>32</v>
      </c>
      <c r="D24" s="7" t="s">
        <v>12</v>
      </c>
      <c r="E24" s="8"/>
      <c r="F24" s="8"/>
      <c r="G24" s="8"/>
    </row>
    <row r="25" customFormat="false" ht="27.75" hidden="false" customHeight="true" outlineLevel="0" collapsed="false">
      <c r="A25" s="17" t="n">
        <v>18</v>
      </c>
      <c r="B25" s="9" t="s">
        <v>35</v>
      </c>
      <c r="C25" s="10" t="s">
        <v>32</v>
      </c>
      <c r="D25" s="10" t="s">
        <v>12</v>
      </c>
      <c r="E25" s="11"/>
      <c r="F25" s="11"/>
      <c r="G25" s="11"/>
    </row>
    <row r="26" customFormat="false" ht="27.75" hidden="false" customHeight="true" outlineLevel="0" collapsed="false">
      <c r="A26" s="17" t="n">
        <v>19</v>
      </c>
      <c r="B26" s="6" t="s">
        <v>36</v>
      </c>
      <c r="C26" s="7" t="s">
        <v>32</v>
      </c>
      <c r="D26" s="7" t="s">
        <v>12</v>
      </c>
      <c r="E26" s="8"/>
      <c r="F26" s="8"/>
      <c r="G26" s="8"/>
    </row>
    <row r="27" customFormat="false" ht="18" hidden="false" customHeight="true" outlineLevel="0" collapsed="false">
      <c r="A27" s="18" t="s">
        <v>37</v>
      </c>
      <c r="B27" s="18"/>
      <c r="C27" s="18"/>
      <c r="D27" s="18"/>
      <c r="E27" s="18"/>
      <c r="F27" s="18"/>
      <c r="G27" s="18"/>
    </row>
    <row r="28" customFormat="false" ht="27.75" hidden="false" customHeight="true" outlineLevel="0" collapsed="false">
      <c r="A28" s="19" t="n">
        <v>20</v>
      </c>
      <c r="B28" s="9" t="s">
        <v>38</v>
      </c>
      <c r="C28" s="10" t="s">
        <v>39</v>
      </c>
      <c r="D28" s="10" t="s">
        <v>12</v>
      </c>
      <c r="E28" s="11"/>
      <c r="F28" s="11"/>
      <c r="G28" s="11"/>
    </row>
    <row r="29" customFormat="false" ht="27.75" hidden="false" customHeight="true" outlineLevel="0" collapsed="false">
      <c r="A29" s="19" t="n">
        <v>21</v>
      </c>
      <c r="B29" s="6" t="s">
        <v>40</v>
      </c>
      <c r="C29" s="7" t="s">
        <v>39</v>
      </c>
      <c r="D29" s="7" t="s">
        <v>12</v>
      </c>
      <c r="E29" s="8"/>
      <c r="F29" s="8"/>
      <c r="G29" s="8"/>
    </row>
    <row r="30" customFormat="false" ht="27.75" hidden="false" customHeight="true" outlineLevel="0" collapsed="false">
      <c r="A30" s="19" t="n">
        <v>22</v>
      </c>
      <c r="B30" s="9" t="s">
        <v>41</v>
      </c>
      <c r="C30" s="10" t="s">
        <v>39</v>
      </c>
      <c r="D30" s="10" t="s">
        <v>12</v>
      </c>
      <c r="E30" s="11"/>
      <c r="F30" s="11"/>
      <c r="G30" s="11"/>
    </row>
    <row r="31" customFormat="false" ht="18" hidden="false" customHeight="true" outlineLevel="0" collapsed="false">
      <c r="A31" s="20" t="s">
        <v>42</v>
      </c>
      <c r="B31" s="20"/>
      <c r="C31" s="20"/>
      <c r="D31" s="20"/>
      <c r="E31" s="20"/>
      <c r="F31" s="20"/>
      <c r="G31" s="20"/>
    </row>
    <row r="32" customFormat="false" ht="27.75" hidden="false" customHeight="true" outlineLevel="0" collapsed="false">
      <c r="A32" s="21" t="n">
        <v>23</v>
      </c>
      <c r="B32" s="6" t="s">
        <v>43</v>
      </c>
      <c r="C32" s="7" t="s">
        <v>44</v>
      </c>
      <c r="D32" s="7" t="s">
        <v>12</v>
      </c>
      <c r="E32" s="8"/>
      <c r="F32" s="8"/>
      <c r="G32" s="8"/>
    </row>
    <row r="33" customFormat="false" ht="27.75" hidden="false" customHeight="true" outlineLevel="0" collapsed="false">
      <c r="A33" s="21" t="n">
        <v>24</v>
      </c>
      <c r="B33" s="9" t="s">
        <v>45</v>
      </c>
      <c r="C33" s="10" t="s">
        <v>44</v>
      </c>
      <c r="D33" s="10" t="s">
        <v>12</v>
      </c>
      <c r="E33" s="11"/>
      <c r="F33" s="11"/>
      <c r="G33" s="11"/>
    </row>
    <row r="34" customFormat="false" ht="27.75" hidden="false" customHeight="true" outlineLevel="0" collapsed="false">
      <c r="A34" s="21" t="n">
        <v>25</v>
      </c>
      <c r="B34" s="6" t="s">
        <v>46</v>
      </c>
      <c r="C34" s="7" t="s">
        <v>44</v>
      </c>
      <c r="D34" s="7" t="s">
        <v>12</v>
      </c>
      <c r="E34" s="8"/>
      <c r="F34" s="8"/>
      <c r="G34" s="8"/>
    </row>
  </sheetData>
  <mergeCells count="8">
    <mergeCell ref="A1:F1"/>
    <mergeCell ref="A2:F2"/>
    <mergeCell ref="A4:G4"/>
    <mergeCell ref="A7:G7"/>
    <mergeCell ref="A13:G13"/>
    <mergeCell ref="A21:G21"/>
    <mergeCell ref="A27:G27"/>
    <mergeCell ref="A31:G31"/>
  </mergeCells>
  <conditionalFormatting sqref="D4:D34">
    <cfRule type="expression" priority="2" aboveAverage="0" equalAverage="0" bottom="0" percent="0" rank="0" text="" dxfId="0">
      <formula>$D4="Completado"</formula>
    </cfRule>
    <cfRule type="expression" priority="3" aboveAverage="0" equalAverage="0" bottom="0" percent="0" rank="0" text="" dxfId="1">
      <formula>$D4="En Progreso"</formula>
    </cfRule>
    <cfRule type="expression" priority="4" aboveAverage="0" equalAverage="0" bottom="0" percent="0" rank="0" text="" dxfId="2">
      <formula>$D4="Pendiente"</formula>
    </cfRule>
  </conditionalFormatting>
  <dataValidations count="1">
    <dataValidation allowBlank="true" errorStyle="stop" operator="between" showDropDown="false" showErrorMessage="false" showInputMessage="false" sqref="D4:D60" type="list">
      <formula1>"Completado,En Progreso,Pendiente"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7" min="3" style="0" width="14"/>
  </cols>
  <sheetData>
    <row r="1" customFormat="false" ht="27.75" hidden="false" customHeight="true" outlineLevel="0" collapsed="false">
      <c r="B1" s="1" t="s">
        <v>47</v>
      </c>
      <c r="C1" s="1"/>
      <c r="D1" s="1"/>
      <c r="E1" s="1"/>
      <c r="F1" s="1"/>
      <c r="G1" s="1"/>
    </row>
    <row r="2" customFormat="false" ht="15.75" hidden="false" customHeight="true" outlineLevel="0" collapsed="false">
      <c r="B2" s="2" t="s">
        <v>48</v>
      </c>
      <c r="C2" s="2"/>
      <c r="D2" s="2"/>
      <c r="E2" s="2"/>
      <c r="F2" s="2"/>
      <c r="G2" s="2"/>
    </row>
    <row r="3" customFormat="false" ht="21.75" hidden="false" customHeight="true" outlineLevel="0" collapsed="false">
      <c r="B3" s="3" t="s">
        <v>4</v>
      </c>
      <c r="C3" s="3" t="s">
        <v>49</v>
      </c>
      <c r="D3" s="3" t="s">
        <v>50</v>
      </c>
      <c r="E3" s="3" t="s">
        <v>51</v>
      </c>
      <c r="F3" s="3" t="s">
        <v>12</v>
      </c>
      <c r="G3" s="3" t="s">
        <v>52</v>
      </c>
    </row>
    <row r="4" customFormat="false" ht="21.75" hidden="false" customHeight="true" outlineLevel="0" collapsed="false">
      <c r="B4" s="22" t="s">
        <v>11</v>
      </c>
      <c r="C4" s="7" t="n">
        <v>2</v>
      </c>
      <c r="D4" s="7" t="n">
        <f aca="false">COUNTIFS('Lista de Verificación'!C$4:C$60,B4,'Lista de Verificación'!D$4:D$60,"Completado")</f>
        <v>0</v>
      </c>
      <c r="E4" s="7" t="n">
        <f aca="false">COUNTIFS('Lista de Verificación'!C$4:C$60,B4,'Lista de Verificación'!D$4:D$60,"En Progreso")</f>
        <v>0</v>
      </c>
      <c r="F4" s="7" t="n">
        <f aca="false">COUNTIFS('Lista de Verificación'!C$4:C$60,B4,'Lista de Verificación'!D$4:D$60,"Pendiente")</f>
        <v>2</v>
      </c>
      <c r="G4" s="23" t="n">
        <f aca="false">IFERROR(D4/C4,0)</f>
        <v>0</v>
      </c>
    </row>
    <row r="5" customFormat="false" ht="21.75" hidden="false" customHeight="true" outlineLevel="0" collapsed="false">
      <c r="B5" s="24" t="s">
        <v>16</v>
      </c>
      <c r="C5" s="10" t="n">
        <v>5</v>
      </c>
      <c r="D5" s="10" t="n">
        <f aca="false">COUNTIFS('Lista de Verificación'!C$4:C$60,B5,'Lista de Verificación'!D$4:D$60,"Completado")</f>
        <v>0</v>
      </c>
      <c r="E5" s="10" t="n">
        <f aca="false">COUNTIFS('Lista de Verificación'!C$4:C$60,B5,'Lista de Verificación'!D$4:D$60,"En Progreso")</f>
        <v>0</v>
      </c>
      <c r="F5" s="10" t="n">
        <f aca="false">COUNTIFS('Lista de Verificación'!C$4:C$60,B5,'Lista de Verificación'!D$4:D$60,"Pendiente")</f>
        <v>5</v>
      </c>
      <c r="G5" s="25" t="n">
        <f aca="false">IFERROR(D5/C5,0)</f>
        <v>0</v>
      </c>
    </row>
    <row r="6" customFormat="false" ht="21.75" hidden="false" customHeight="true" outlineLevel="0" collapsed="false">
      <c r="B6" s="26" t="s">
        <v>23</v>
      </c>
      <c r="C6" s="7" t="n">
        <v>7</v>
      </c>
      <c r="D6" s="7" t="n">
        <f aca="false">COUNTIFS('Lista de Verificación'!C$4:C$60,B6,'Lista de Verificación'!D$4:D$60,"Completado")</f>
        <v>0</v>
      </c>
      <c r="E6" s="7" t="n">
        <f aca="false">COUNTIFS('Lista de Verificación'!C$4:C$60,B6,'Lista de Verificación'!D$4:D$60,"En Progreso")</f>
        <v>0</v>
      </c>
      <c r="F6" s="7" t="n">
        <f aca="false">COUNTIFS('Lista de Verificación'!C$4:C$60,B6,'Lista de Verificación'!D$4:D$60,"Pendiente")</f>
        <v>7</v>
      </c>
      <c r="G6" s="23" t="n">
        <f aca="false">IFERROR(D6/C6,0)</f>
        <v>0</v>
      </c>
    </row>
    <row r="7" customFormat="false" ht="21.75" hidden="false" customHeight="true" outlineLevel="0" collapsed="false">
      <c r="B7" s="27" t="s">
        <v>32</v>
      </c>
      <c r="C7" s="10" t="n">
        <v>5</v>
      </c>
      <c r="D7" s="10" t="n">
        <f aca="false">COUNTIFS('Lista de Verificación'!C$4:C$60,B7,'Lista de Verificación'!D$4:D$60,"Completado")</f>
        <v>0</v>
      </c>
      <c r="E7" s="10" t="n">
        <f aca="false">COUNTIFS('Lista de Verificación'!C$4:C$60,B7,'Lista de Verificación'!D$4:D$60,"En Progreso")</f>
        <v>0</v>
      </c>
      <c r="F7" s="10" t="n">
        <f aca="false">COUNTIFS('Lista de Verificación'!C$4:C$60,B7,'Lista de Verificación'!D$4:D$60,"Pendiente")</f>
        <v>5</v>
      </c>
      <c r="G7" s="25" t="n">
        <f aca="false">IFERROR(D7/C7,0)</f>
        <v>0</v>
      </c>
    </row>
    <row r="8" customFormat="false" ht="21.75" hidden="false" customHeight="true" outlineLevel="0" collapsed="false">
      <c r="B8" s="28" t="s">
        <v>39</v>
      </c>
      <c r="C8" s="7" t="n">
        <v>3</v>
      </c>
      <c r="D8" s="7" t="n">
        <f aca="false">COUNTIFS('Lista de Verificación'!C$4:C$60,B8,'Lista de Verificación'!D$4:D$60,"Completado")</f>
        <v>0</v>
      </c>
      <c r="E8" s="7" t="n">
        <f aca="false">COUNTIFS('Lista de Verificación'!C$4:C$60,B8,'Lista de Verificación'!D$4:D$60,"En Progreso")</f>
        <v>0</v>
      </c>
      <c r="F8" s="7" t="n">
        <f aca="false">COUNTIFS('Lista de Verificación'!C$4:C$60,B8,'Lista de Verificación'!D$4:D$60,"Pendiente")</f>
        <v>3</v>
      </c>
      <c r="G8" s="23" t="n">
        <f aca="false">IFERROR(D8/C8,0)</f>
        <v>0</v>
      </c>
    </row>
    <row r="9" customFormat="false" ht="21.75" hidden="false" customHeight="true" outlineLevel="0" collapsed="false">
      <c r="B9" s="29" t="s">
        <v>44</v>
      </c>
      <c r="C9" s="10" t="n">
        <v>3</v>
      </c>
      <c r="D9" s="10" t="n">
        <f aca="false">COUNTIFS('Lista de Verificación'!C$4:C$60,B9,'Lista de Verificación'!D$4:D$60,"Completado")</f>
        <v>0</v>
      </c>
      <c r="E9" s="10" t="n">
        <f aca="false">COUNTIFS('Lista de Verificación'!C$4:C$60,B9,'Lista de Verificación'!D$4:D$60,"En Progreso")</f>
        <v>0</v>
      </c>
      <c r="F9" s="10" t="n">
        <f aca="false">COUNTIFS('Lista de Verificación'!C$4:C$60,B9,'Lista de Verificación'!D$4:D$60,"Pendiente")</f>
        <v>3</v>
      </c>
      <c r="G9" s="25" t="n">
        <f aca="false">IFERROR(D9/C9,0)</f>
        <v>0</v>
      </c>
    </row>
    <row r="10" customFormat="false" ht="21.75" hidden="false" customHeight="true" outlineLevel="0" collapsed="false">
      <c r="B10" s="30" t="s">
        <v>53</v>
      </c>
      <c r="C10" s="30" t="n">
        <v>25</v>
      </c>
      <c r="D10" s="30" t="n">
        <f aca="false">SUM(D4:D9)</f>
        <v>0</v>
      </c>
      <c r="E10" s="30" t="n">
        <f aca="false">SUM(E4:E9)</f>
        <v>0</v>
      </c>
      <c r="F10" s="30" t="n">
        <f aca="false">SUM(F4:F9)</f>
        <v>25</v>
      </c>
      <c r="G10" s="31" t="n">
        <f aca="false">IFERROR(D10/C10,0)</f>
        <v>0</v>
      </c>
    </row>
  </sheetData>
  <mergeCells count="2">
    <mergeCell ref="B1:G1"/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60"/>
  </cols>
  <sheetData>
    <row r="1" customFormat="false" ht="25.5" hidden="false" customHeight="true" outlineLevel="0" collapsed="false">
      <c r="B1" s="32" t="s">
        <v>54</v>
      </c>
      <c r="C1" s="32"/>
    </row>
    <row r="2" customFormat="false" ht="7.5" hidden="false" customHeight="true" outlineLevel="0" collapsed="false"/>
    <row r="3" customFormat="false" ht="39.75" hidden="false" customHeight="true" outlineLevel="0" collapsed="false">
      <c r="B3" s="33" t="s">
        <v>55</v>
      </c>
      <c r="C3" s="34" t="s">
        <v>56</v>
      </c>
    </row>
    <row r="4" customFormat="false" ht="39.75" hidden="false" customHeight="true" outlineLevel="0" collapsed="false">
      <c r="B4" s="33" t="s">
        <v>57</v>
      </c>
      <c r="C4" s="35" t="s">
        <v>58</v>
      </c>
    </row>
    <row r="5" customFormat="false" ht="39.75" hidden="false" customHeight="true" outlineLevel="0" collapsed="false">
      <c r="B5" s="33" t="s">
        <v>59</v>
      </c>
      <c r="C5" s="34" t="s">
        <v>60</v>
      </c>
    </row>
    <row r="6" customFormat="false" ht="39.75" hidden="false" customHeight="true" outlineLevel="0" collapsed="false">
      <c r="B6" s="33" t="s">
        <v>61</v>
      </c>
      <c r="C6" s="35" t="s">
        <v>62</v>
      </c>
    </row>
    <row r="7" customFormat="false" ht="39.75" hidden="false" customHeight="true" outlineLevel="0" collapsed="false">
      <c r="B7" s="33" t="s">
        <v>63</v>
      </c>
      <c r="C7" s="34" t="s">
        <v>64</v>
      </c>
    </row>
    <row r="8" customFormat="false" ht="39.75" hidden="false" customHeight="true" outlineLevel="0" collapsed="false">
      <c r="B8" s="33" t="s">
        <v>65</v>
      </c>
      <c r="C8" s="35" t="s">
        <v>66</v>
      </c>
    </row>
    <row r="9" customFormat="false" ht="39.75" hidden="false" customHeight="true" outlineLevel="0" collapsed="false">
      <c r="B9" s="33" t="s">
        <v>67</v>
      </c>
      <c r="C9" s="34" t="s">
        <v>68</v>
      </c>
    </row>
    <row r="10" customFormat="false" ht="39.75" hidden="false" customHeight="true" outlineLevel="0" collapsed="false">
      <c r="B10" s="33" t="s">
        <v>69</v>
      </c>
      <c r="C10" s="35" t="s">
        <v>70</v>
      </c>
    </row>
    <row r="11" customFormat="false" ht="39.75" hidden="false" customHeight="true" outlineLevel="0" collapsed="false">
      <c r="B11" s="33" t="s">
        <v>71</v>
      </c>
      <c r="C11" s="34" t="s">
        <v>72</v>
      </c>
    </row>
    <row r="12" customFormat="false" ht="39.75" hidden="false" customHeight="true" outlineLevel="0" collapsed="false">
      <c r="B12" s="33" t="s">
        <v>73</v>
      </c>
      <c r="C12" s="35" t="s">
        <v>74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2026-05-14T19:35:47Z</dcterms:created>
  <dc:creator>openpyxl</dc:creator>
  <dc:description/>
  <dc:language>en-US</dc:language>
  <cp:lastModifiedBy/>
  <dcterms:modified xsi:type="dcterms:W3CDTF">2026-05-14T19:35:47Z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