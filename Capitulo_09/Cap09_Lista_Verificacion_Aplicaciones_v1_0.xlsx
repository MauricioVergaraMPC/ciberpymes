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2" documentId="11_64FA959A0C2BDF2314B858F69BFF193C5E11614F" xr6:coauthVersionLast="47" xr6:coauthVersionMax="47" xr10:uidLastSave="{E359D9C6-F299-4218-975D-DC6F16BC4D73}"/>
  <bookViews>
    <workbookView xWindow="1560" yWindow="1560" windowWidth="21600" windowHeight="11505" tabRatio="500" xr2:uid="{00000000-000D-0000-FFFF-FFFF00000000}"/>
  </bookViews>
  <sheets>
    <sheet name="Lista de Verificación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F9" i="2"/>
  <c r="E9" i="2"/>
  <c r="D9" i="2"/>
  <c r="G9" i="2" s="1"/>
  <c r="F8" i="2"/>
  <c r="E8" i="2"/>
  <c r="D8" i="2"/>
  <c r="G8" i="2" s="1"/>
  <c r="F7" i="2"/>
  <c r="E7" i="2"/>
  <c r="D7" i="2"/>
  <c r="G7" i="2" s="1"/>
  <c r="F6" i="2"/>
  <c r="E6" i="2"/>
  <c r="D6" i="2"/>
  <c r="G6" i="2" s="1"/>
  <c r="F5" i="2"/>
  <c r="E5" i="2"/>
  <c r="D5" i="2"/>
  <c r="G5" i="2" s="1"/>
  <c r="F4" i="2"/>
  <c r="F10" i="2" s="1"/>
  <c r="E4" i="2"/>
  <c r="E10" i="2" s="1"/>
  <c r="D4" i="2"/>
  <c r="G4" i="2" s="1"/>
  <c r="D10" i="2" l="1"/>
  <c r="G10" i="2" s="1"/>
</calcChain>
</file>

<file path=xl/sharedStrings.xml><?xml version="1.0" encoding="utf-8"?>
<sst xmlns="http://schemas.openxmlformats.org/spreadsheetml/2006/main" count="135" uniqueCount="78">
  <si>
    <t>CIBERPROTECCIÓN PARA PyMES · Lista de Verificación — Capítulo 9: Aplicaciones</t>
  </si>
  <si>
    <t>Marco: NIST CSF 2.0  ·  Instrucciones: marque Completado / En Progreso / Pendiente en la columna Estado</t>
  </si>
  <si>
    <t>#</t>
  </si>
  <si>
    <t>Actividad</t>
  </si>
  <si>
    <t>Función NIST CSF</t>
  </si>
  <si>
    <t>Estado</t>
  </si>
  <si>
    <t>Responsable</t>
  </si>
  <si>
    <t>Fecha límite</t>
  </si>
  <si>
    <t>Observaciones</t>
  </si>
  <si>
    <t>▌  GOBERNANZA</t>
  </si>
  <si>
    <t>Definir la Política de Gestión de Licenciamiento de Software</t>
  </si>
  <si>
    <t>Gobernanza</t>
  </si>
  <si>
    <t>Pendiente</t>
  </si>
  <si>
    <t>Definir el Proceso de Aprobación e Incorporación de Aplicaciones</t>
  </si>
  <si>
    <t>Definir la Política de Gestión de Accesos y Privilegios en Aplicaciones</t>
  </si>
  <si>
    <t>Definir la Política de Desarrollo Seguro</t>
  </si>
  <si>
    <t>▌  IDENTIFICACIÓN</t>
  </si>
  <si>
    <t>Ejecutar Inventario de Aplicaciones</t>
  </si>
  <si>
    <t>Identificación</t>
  </si>
  <si>
    <t>Clasificar Aplicaciones por Nivel de Criticidad</t>
  </si>
  <si>
    <t>Determinar Indicadores Clave de Riesgo (KRI)</t>
  </si>
  <si>
    <t>▌  PROTECCIÓN</t>
  </si>
  <si>
    <t>Desplegar Biblioteca de Software Definitivo (DSL)</t>
  </si>
  <si>
    <t>Protección</t>
  </si>
  <si>
    <t>Segurizar aplicaciones</t>
  </si>
  <si>
    <t>Proteger accesos</t>
  </si>
  <si>
    <t>Gestionar permisos de usuarios</t>
  </si>
  <si>
    <t>Fortalecer la autenticación</t>
  </si>
  <si>
    <t>Aplicar patches y updates</t>
  </si>
  <si>
    <t>Aplicar Prácticas de Desarrollo Seguro</t>
  </si>
  <si>
    <t>Validar la procedencia de las dependencias de terceros</t>
  </si>
  <si>
    <t>Ejecutar mantenimientos preventivos</t>
  </si>
  <si>
    <t>▌  DETECCIÓN</t>
  </si>
  <si>
    <t>Suscribir Listas de notificación</t>
  </si>
  <si>
    <t>Detección</t>
  </si>
  <si>
    <t>Auditar versiones instaladas</t>
  </si>
  <si>
    <t>Auditar logs</t>
  </si>
  <si>
    <t>Escanear vulnerabilidades</t>
  </si>
  <si>
    <t>Reescanear dependencias en producción</t>
  </si>
  <si>
    <t>▌  RESPUESTA</t>
  </si>
  <si>
    <t>Diseñar Plan de Respuesta a Incidentes de Aplicaciones</t>
  </si>
  <si>
    <t>Respuesta</t>
  </si>
  <si>
    <t>Establecer canal de reporte de vulnerabilidades</t>
  </si>
  <si>
    <t>Elaborar guías de instalación</t>
  </si>
  <si>
    <t>Contener aplicaciones comprometidas</t>
  </si>
  <si>
    <t>▌  RECUPERACIÓN</t>
  </si>
  <si>
    <t>Recuperación</t>
  </si>
  <si>
    <t>Verificar integridad post-restauración</t>
  </si>
  <si>
    <t>Realizar análisis post-mortem</t>
  </si>
  <si>
    <t>DASHBOARD — Capítulo 9: Aplicaciones</t>
  </si>
  <si>
    <t>Progreso de implementación por función NIST CSF 2.0</t>
  </si>
  <si>
    <t>Total ítems</t>
  </si>
  <si>
    <t>Completado</t>
  </si>
  <si>
    <t>En Progreso</t>
  </si>
  <si>
    <t>% Avance</t>
  </si>
  <si>
    <t>TOTAL</t>
  </si>
  <si>
    <t>INSTRUCTIVO DE USO — Lista de Verificación Cap. 9</t>
  </si>
  <si>
    <t>Columna #</t>
  </si>
  <si>
    <t>Número secuencial del ítem dentro del capítulo.</t>
  </si>
  <si>
    <t>Columna Actividad</t>
  </si>
  <si>
    <t>Descripción de la tarea a ejecutar según el libro.</t>
  </si>
  <si>
    <t>Columna Función</t>
  </si>
  <si>
    <t>Función del marco NIST CSF 2.0 a la que pertenece el ítem.</t>
  </si>
  <si>
    <t>Columna Estado</t>
  </si>
  <si>
    <t>Seleccione una opción del menú desplegable: Completado / En Progreso / Pendiente. El color de la celda se actualiza automáticamente.</t>
  </si>
  <si>
    <t>Columna Responsable</t>
  </si>
  <si>
    <t>Nombre o cargo de la persona a cargo de esta actividad.</t>
  </si>
  <si>
    <t>Columna Fecha límite</t>
  </si>
  <si>
    <t>Fecha estimada o comprometida para completar el ítem (DD/MM/AAAA).</t>
  </si>
  <si>
    <t>Columna Observaciones</t>
  </si>
  <si>
    <t>Notas libres: bloqueos, dependencias, referencias a tickets, etc.</t>
  </si>
  <si>
    <t>Hoja Dashboard</t>
  </si>
  <si>
    <t>Resumen automático del avance por función NIST CSF 2.0. Se actualiza al cambiar los estados en la lista principal.</t>
  </si>
  <si>
    <t>Uso como entregable</t>
  </si>
  <si>
    <t>Agregue columnas de Responsable y Fecha límite para convertir esta lista en instrumento formal de seguimiento de proyecto, apto para presentar a la dirección como evidencia de avance.</t>
  </si>
  <si>
    <t>Actualización</t>
  </si>
  <si>
    <t>Este archivo corresponde al Capítulo 9 — Aplicaciones. Repositorio: github.com/MauricioVergaraMPC/ciberpymes</t>
  </si>
  <si>
    <t>Reinstalar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</si>
</sst>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5F5E5A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5F5E5A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85FA5"/>
        <bgColor rgb="FF2E6DA4"/>
      </patternFill>
    </fill>
    <fill>
      <patternFill patternType="solid">
        <fgColor rgb="FFB5D4F4"/>
        <bgColor rgb="FF99CCFF"/>
      </patternFill>
    </fill>
    <fill>
      <patternFill patternType="solid">
        <fgColor rgb="FF5F5E5A"/>
        <bgColor rgb="FF3B6D11"/>
      </patternFill>
    </fill>
    <fill>
      <patternFill patternType="solid">
        <fgColor rgb="FFFFFFFF"/>
        <bgColor rgb="FFF5F5F3"/>
      </patternFill>
    </fill>
    <fill>
      <patternFill patternType="solid">
        <fgColor rgb="FFF5F5F3"/>
        <bgColor rgb="FFFFFFFF"/>
      </patternFill>
    </fill>
    <fill>
      <patternFill patternType="solid">
        <fgColor rgb="FF2E6DA4"/>
        <bgColor rgb="FF185FA5"/>
      </patternFill>
    </fill>
    <fill>
      <patternFill patternType="solid">
        <fgColor rgb="FF1F6B3A"/>
        <bgColor rgb="FF3B6D11"/>
      </patternFill>
    </fill>
    <fill>
      <patternFill patternType="solid">
        <fgColor rgb="FF7B3F00"/>
        <bgColor rgb="FFA32D2D"/>
      </patternFill>
    </fill>
    <fill>
      <patternFill patternType="solid">
        <fgColor rgb="FFA32D2D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b/>
        <color rgb="FFA32D2D"/>
        <name val="Arial"/>
        <charset val="1"/>
      </font>
      <fill>
        <patternFill>
          <bgColor rgb="FFF8D7DA"/>
        </patternFill>
      </fill>
    </dxf>
    <dxf>
      <font>
        <b/>
        <color rgb="FFBA7517"/>
        <name val="Arial"/>
        <charset val="1"/>
      </font>
      <fill>
        <patternFill>
          <bgColor rgb="FFFFF3CD"/>
        </patternFill>
      </fill>
    </dxf>
    <dxf>
      <font>
        <b/>
        <color rgb="FF3B6D11"/>
        <name val="Arial"/>
        <charset val="1"/>
      </font>
      <fill>
        <patternFill>
          <bgColor rgb="FFD6EA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BA7517"/>
      <rgbColor rgb="FF800080"/>
      <rgbColor rgb="FF008080"/>
      <rgbColor rgb="FFD9D9D9"/>
      <rgbColor rgb="FF808080"/>
      <rgbColor rgb="FF9999FF"/>
      <rgbColor rgb="FF7B3F00"/>
      <rgbColor rgb="FFFFF3CD"/>
      <rgbColor rgb="FFF5F5F3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8D7DA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B6D11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baseColWidth="10" defaultColWidth="8.7109375" defaultRowHeight="15" x14ac:dyDescent="0.25"/>
  <cols>
    <col min="1" max="1" width="4" customWidth="1"/>
    <col min="2" max="2" width="46" customWidth="1"/>
    <col min="3" max="3" width="18" customWidth="1"/>
    <col min="4" max="4" width="14" customWidth="1"/>
    <col min="5" max="5" width="16" customWidth="1"/>
    <col min="6" max="6" width="14" customWidth="1"/>
    <col min="7" max="7" width="32" customWidth="1"/>
  </cols>
  <sheetData>
    <row r="1" spans="1:7" ht="15.75" customHeight="1" x14ac:dyDescent="0.25">
      <c r="A1" s="9" t="s">
        <v>0</v>
      </c>
      <c r="B1" s="9"/>
      <c r="C1" s="9"/>
      <c r="D1" s="9"/>
      <c r="E1" s="9"/>
      <c r="F1" s="9"/>
    </row>
    <row r="2" spans="1:7" ht="15" customHeight="1" x14ac:dyDescent="0.25">
      <c r="A2" s="8" t="s">
        <v>1</v>
      </c>
      <c r="B2" s="8"/>
      <c r="C2" s="8"/>
      <c r="D2" s="8"/>
      <c r="E2" s="8"/>
      <c r="F2" s="8"/>
    </row>
    <row r="3" spans="1:7" ht="1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</row>
    <row r="4" spans="1:7" ht="15" customHeight="1" x14ac:dyDescent="0.25">
      <c r="A4" s="7" t="s">
        <v>9</v>
      </c>
      <c r="B4" s="7"/>
      <c r="C4" s="7"/>
      <c r="D4" s="7"/>
      <c r="E4" s="7"/>
      <c r="F4" s="7"/>
      <c r="G4" s="7"/>
    </row>
    <row r="5" spans="1:7" ht="23.25" customHeight="1" x14ac:dyDescent="0.25">
      <c r="A5" s="11">
        <v>1</v>
      </c>
      <c r="B5" s="12" t="s">
        <v>10</v>
      </c>
      <c r="C5" s="13" t="s">
        <v>11</v>
      </c>
      <c r="D5" s="13" t="s">
        <v>12</v>
      </c>
      <c r="E5" s="13"/>
      <c r="F5" s="13"/>
      <c r="G5" s="13"/>
    </row>
    <row r="6" spans="1:7" ht="23.25" customHeight="1" x14ac:dyDescent="0.25">
      <c r="A6" s="11">
        <v>2</v>
      </c>
      <c r="B6" s="14" t="s">
        <v>13</v>
      </c>
      <c r="C6" s="15" t="s">
        <v>11</v>
      </c>
      <c r="D6" s="15" t="s">
        <v>12</v>
      </c>
      <c r="E6" s="15"/>
      <c r="F6" s="15"/>
      <c r="G6" s="15"/>
    </row>
    <row r="7" spans="1:7" ht="23.25" customHeight="1" x14ac:dyDescent="0.25">
      <c r="A7" s="11">
        <v>3</v>
      </c>
      <c r="B7" s="12" t="s">
        <v>14</v>
      </c>
      <c r="C7" s="13" t="s">
        <v>11</v>
      </c>
      <c r="D7" s="13" t="s">
        <v>12</v>
      </c>
      <c r="E7" s="13"/>
      <c r="F7" s="13"/>
      <c r="G7" s="13"/>
    </row>
    <row r="8" spans="1:7" ht="15" customHeight="1" x14ac:dyDescent="0.25">
      <c r="A8" s="11">
        <v>4</v>
      </c>
      <c r="B8" s="14" t="s">
        <v>15</v>
      </c>
      <c r="C8" s="15" t="s">
        <v>11</v>
      </c>
      <c r="D8" s="15" t="s">
        <v>12</v>
      </c>
      <c r="E8" s="15"/>
      <c r="F8" s="15"/>
      <c r="G8" s="15"/>
    </row>
    <row r="9" spans="1:7" ht="15" customHeight="1" x14ac:dyDescent="0.25">
      <c r="A9" s="6" t="s">
        <v>16</v>
      </c>
      <c r="B9" s="6"/>
      <c r="C9" s="6"/>
      <c r="D9" s="6"/>
      <c r="E9" s="6"/>
      <c r="F9" s="6"/>
      <c r="G9" s="6"/>
    </row>
    <row r="10" spans="1:7" ht="15" customHeight="1" x14ac:dyDescent="0.25">
      <c r="A10" s="16">
        <v>5</v>
      </c>
      <c r="B10" s="12" t="s">
        <v>17</v>
      </c>
      <c r="C10" s="13" t="s">
        <v>18</v>
      </c>
      <c r="D10" s="13" t="s">
        <v>12</v>
      </c>
      <c r="E10" s="13"/>
      <c r="F10" s="13"/>
      <c r="G10" s="13"/>
    </row>
    <row r="11" spans="1:7" ht="15" customHeight="1" x14ac:dyDescent="0.25">
      <c r="A11" s="16">
        <v>6</v>
      </c>
      <c r="B11" s="14" t="s">
        <v>19</v>
      </c>
      <c r="C11" s="15" t="s">
        <v>18</v>
      </c>
      <c r="D11" s="15" t="s">
        <v>12</v>
      </c>
      <c r="E11" s="15"/>
      <c r="F11" s="15"/>
      <c r="G11" s="15"/>
    </row>
    <row r="12" spans="1:7" ht="15" customHeight="1" x14ac:dyDescent="0.25">
      <c r="A12" s="16">
        <v>7</v>
      </c>
      <c r="B12" s="12" t="s">
        <v>20</v>
      </c>
      <c r="C12" s="13" t="s">
        <v>18</v>
      </c>
      <c r="D12" s="13" t="s">
        <v>12</v>
      </c>
      <c r="E12" s="13"/>
      <c r="F12" s="13"/>
      <c r="G12" s="13"/>
    </row>
    <row r="13" spans="1:7" ht="15" customHeight="1" x14ac:dyDescent="0.25">
      <c r="A13" s="5" t="s">
        <v>21</v>
      </c>
      <c r="B13" s="5"/>
      <c r="C13" s="5"/>
      <c r="D13" s="5"/>
      <c r="E13" s="5"/>
      <c r="F13" s="5"/>
      <c r="G13" s="5"/>
    </row>
    <row r="14" spans="1:7" ht="15" customHeight="1" x14ac:dyDescent="0.25">
      <c r="A14" s="17">
        <v>8</v>
      </c>
      <c r="B14" s="14" t="s">
        <v>22</v>
      </c>
      <c r="C14" s="15" t="s">
        <v>23</v>
      </c>
      <c r="D14" s="15" t="s">
        <v>12</v>
      </c>
      <c r="E14" s="15"/>
      <c r="F14" s="15"/>
      <c r="G14" s="15"/>
    </row>
    <row r="15" spans="1:7" ht="15" customHeight="1" x14ac:dyDescent="0.25">
      <c r="A15" s="17">
        <v>9</v>
      </c>
      <c r="B15" s="12" t="s">
        <v>24</v>
      </c>
      <c r="C15" s="13" t="s">
        <v>23</v>
      </c>
      <c r="D15" s="13" t="s">
        <v>12</v>
      </c>
      <c r="E15" s="13"/>
      <c r="F15" s="13"/>
      <c r="G15" s="13"/>
    </row>
    <row r="16" spans="1:7" ht="15" customHeight="1" x14ac:dyDescent="0.25">
      <c r="A16" s="17">
        <v>10</v>
      </c>
      <c r="B16" s="14" t="s">
        <v>25</v>
      </c>
      <c r="C16" s="15" t="s">
        <v>23</v>
      </c>
      <c r="D16" s="15" t="s">
        <v>12</v>
      </c>
      <c r="E16" s="15"/>
      <c r="F16" s="15"/>
      <c r="G16" s="15"/>
    </row>
    <row r="17" spans="1:7" ht="15" customHeight="1" x14ac:dyDescent="0.25">
      <c r="A17" s="17">
        <v>11</v>
      </c>
      <c r="B17" s="12" t="s">
        <v>26</v>
      </c>
      <c r="C17" s="13" t="s">
        <v>23</v>
      </c>
      <c r="D17" s="13" t="s">
        <v>12</v>
      </c>
      <c r="E17" s="13"/>
      <c r="F17" s="13"/>
      <c r="G17" s="13"/>
    </row>
    <row r="18" spans="1:7" ht="15" customHeight="1" x14ac:dyDescent="0.25">
      <c r="A18" s="17">
        <v>12</v>
      </c>
      <c r="B18" s="14" t="s">
        <v>27</v>
      </c>
      <c r="C18" s="15" t="s">
        <v>23</v>
      </c>
      <c r="D18" s="15" t="s">
        <v>12</v>
      </c>
      <c r="E18" s="15"/>
      <c r="F18" s="15"/>
      <c r="G18" s="15"/>
    </row>
    <row r="19" spans="1:7" ht="15" customHeight="1" x14ac:dyDescent="0.25">
      <c r="A19" s="17">
        <v>13</v>
      </c>
      <c r="B19" s="12" t="s">
        <v>28</v>
      </c>
      <c r="C19" s="13" t="s">
        <v>23</v>
      </c>
      <c r="D19" s="13" t="s">
        <v>12</v>
      </c>
      <c r="E19" s="13"/>
      <c r="F19" s="13"/>
      <c r="G19" s="13"/>
    </row>
    <row r="20" spans="1:7" ht="15" customHeight="1" x14ac:dyDescent="0.25">
      <c r="A20" s="17">
        <v>14</v>
      </c>
      <c r="B20" s="14" t="s">
        <v>29</v>
      </c>
      <c r="C20" s="15" t="s">
        <v>23</v>
      </c>
      <c r="D20" s="15" t="s">
        <v>12</v>
      </c>
      <c r="E20" s="15"/>
      <c r="F20" s="15"/>
      <c r="G20" s="15"/>
    </row>
    <row r="21" spans="1:7" ht="15" customHeight="1" x14ac:dyDescent="0.25">
      <c r="A21" s="17">
        <v>15</v>
      </c>
      <c r="B21" s="12" t="s">
        <v>30</v>
      </c>
      <c r="C21" s="13" t="s">
        <v>23</v>
      </c>
      <c r="D21" s="13" t="s">
        <v>12</v>
      </c>
      <c r="E21" s="13"/>
      <c r="F21" s="13"/>
      <c r="G21" s="13"/>
    </row>
    <row r="22" spans="1:7" ht="15" customHeight="1" x14ac:dyDescent="0.25">
      <c r="A22" s="17">
        <v>16</v>
      </c>
      <c r="B22" s="14" t="s">
        <v>31</v>
      </c>
      <c r="C22" s="15" t="s">
        <v>23</v>
      </c>
      <c r="D22" s="15" t="s">
        <v>12</v>
      </c>
      <c r="E22" s="15"/>
      <c r="F22" s="15"/>
      <c r="G22" s="15"/>
    </row>
    <row r="23" spans="1:7" ht="15" customHeight="1" x14ac:dyDescent="0.25">
      <c r="A23" s="4" t="s">
        <v>32</v>
      </c>
      <c r="B23" s="4"/>
      <c r="C23" s="4"/>
      <c r="D23" s="4"/>
      <c r="E23" s="4"/>
      <c r="F23" s="4"/>
      <c r="G23" s="4"/>
    </row>
    <row r="24" spans="1:7" ht="15" customHeight="1" x14ac:dyDescent="0.25">
      <c r="A24" s="18">
        <v>17</v>
      </c>
      <c r="B24" s="12" t="s">
        <v>33</v>
      </c>
      <c r="C24" s="13" t="s">
        <v>34</v>
      </c>
      <c r="D24" s="13" t="s">
        <v>12</v>
      </c>
      <c r="E24" s="13"/>
      <c r="F24" s="13"/>
      <c r="G24" s="13"/>
    </row>
    <row r="25" spans="1:7" ht="15" customHeight="1" x14ac:dyDescent="0.25">
      <c r="A25" s="18">
        <v>18</v>
      </c>
      <c r="B25" s="14" t="s">
        <v>35</v>
      </c>
      <c r="C25" s="15" t="s">
        <v>34</v>
      </c>
      <c r="D25" s="15" t="s">
        <v>12</v>
      </c>
      <c r="E25" s="15"/>
      <c r="F25" s="15"/>
      <c r="G25" s="15"/>
    </row>
    <row r="26" spans="1:7" ht="15" customHeight="1" x14ac:dyDescent="0.25">
      <c r="A26" s="18">
        <v>19</v>
      </c>
      <c r="B26" s="12" t="s">
        <v>36</v>
      </c>
      <c r="C26" s="13" t="s">
        <v>34</v>
      </c>
      <c r="D26" s="13" t="s">
        <v>12</v>
      </c>
      <c r="E26" s="13"/>
      <c r="F26" s="13"/>
      <c r="G26" s="13"/>
    </row>
    <row r="27" spans="1:7" ht="15" customHeight="1" x14ac:dyDescent="0.25">
      <c r="A27" s="18">
        <v>20</v>
      </c>
      <c r="B27" s="14" t="s">
        <v>37</v>
      </c>
      <c r="C27" s="15" t="s">
        <v>34</v>
      </c>
      <c r="D27" s="15" t="s">
        <v>12</v>
      </c>
      <c r="E27" s="15"/>
      <c r="F27" s="15"/>
      <c r="G27" s="15"/>
    </row>
    <row r="28" spans="1:7" ht="15" customHeight="1" x14ac:dyDescent="0.25">
      <c r="A28" s="18">
        <v>21</v>
      </c>
      <c r="B28" s="12" t="s">
        <v>38</v>
      </c>
      <c r="C28" s="13" t="s">
        <v>34</v>
      </c>
      <c r="D28" s="13" t="s">
        <v>12</v>
      </c>
      <c r="E28" s="13"/>
      <c r="F28" s="13"/>
      <c r="G28" s="13"/>
    </row>
    <row r="29" spans="1:7" ht="15" customHeight="1" x14ac:dyDescent="0.25">
      <c r="A29" s="3" t="s">
        <v>39</v>
      </c>
      <c r="B29" s="3"/>
      <c r="C29" s="3"/>
      <c r="D29" s="3"/>
      <c r="E29" s="3"/>
      <c r="F29" s="3"/>
      <c r="G29" s="3"/>
    </row>
    <row r="30" spans="1:7" ht="15" customHeight="1" x14ac:dyDescent="0.25">
      <c r="A30" s="19">
        <v>22</v>
      </c>
      <c r="B30" s="14" t="s">
        <v>40</v>
      </c>
      <c r="C30" s="15" t="s">
        <v>41</v>
      </c>
      <c r="D30" s="15" t="s">
        <v>12</v>
      </c>
      <c r="E30" s="15"/>
      <c r="F30" s="15"/>
      <c r="G30" s="15"/>
    </row>
    <row r="31" spans="1:7" ht="15" customHeight="1" x14ac:dyDescent="0.25">
      <c r="A31" s="19">
        <v>23</v>
      </c>
      <c r="B31" s="12" t="s">
        <v>42</v>
      </c>
      <c r="C31" s="13" t="s">
        <v>41</v>
      </c>
      <c r="D31" s="13" t="s">
        <v>12</v>
      </c>
      <c r="E31" s="13"/>
      <c r="F31" s="13"/>
      <c r="G31" s="13"/>
    </row>
    <row r="32" spans="1:7" ht="15" customHeight="1" x14ac:dyDescent="0.25">
      <c r="A32" s="19">
        <v>24</v>
      </c>
      <c r="B32" s="14" t="s">
        <v>43</v>
      </c>
      <c r="C32" s="15" t="s">
        <v>41</v>
      </c>
      <c r="D32" s="15" t="s">
        <v>12</v>
      </c>
      <c r="E32" s="15"/>
      <c r="F32" s="15"/>
      <c r="G32" s="15"/>
    </row>
    <row r="33" spans="1:7" ht="15" customHeight="1" x14ac:dyDescent="0.25">
      <c r="A33" s="19">
        <v>25</v>
      </c>
      <c r="B33" s="12" t="s">
        <v>44</v>
      </c>
      <c r="C33" s="13" t="s">
        <v>41</v>
      </c>
      <c r="D33" s="13" t="s">
        <v>12</v>
      </c>
      <c r="E33" s="13"/>
      <c r="F33" s="13"/>
      <c r="G33" s="13"/>
    </row>
    <row r="34" spans="1:7" ht="15" customHeight="1" x14ac:dyDescent="0.25">
      <c r="A34" s="2" t="s">
        <v>45</v>
      </c>
      <c r="B34" s="2"/>
      <c r="C34" s="2"/>
      <c r="D34" s="2"/>
      <c r="E34" s="2"/>
      <c r="F34" s="2"/>
      <c r="G34" s="2"/>
    </row>
    <row r="35" spans="1:7" ht="15" customHeight="1" x14ac:dyDescent="0.25">
      <c r="A35" s="20">
        <v>26</v>
      </c>
      <c r="B35" s="14" t="s">
        <v>77</v>
      </c>
      <c r="C35" s="15" t="s">
        <v>46</v>
      </c>
      <c r="D35" s="15" t="s">
        <v>12</v>
      </c>
      <c r="E35" s="15"/>
      <c r="F35" s="15"/>
      <c r="G35" s="15"/>
    </row>
    <row r="36" spans="1:7" ht="15" customHeight="1" x14ac:dyDescent="0.25">
      <c r="A36" s="20">
        <v>27</v>
      </c>
      <c r="B36" s="12" t="s">
        <v>47</v>
      </c>
      <c r="C36" s="13" t="s">
        <v>46</v>
      </c>
      <c r="D36" s="13" t="s">
        <v>12</v>
      </c>
      <c r="E36" s="13"/>
      <c r="F36" s="13"/>
      <c r="G36" s="13"/>
    </row>
    <row r="37" spans="1:7" ht="15" customHeight="1" x14ac:dyDescent="0.25">
      <c r="A37" s="20">
        <v>28</v>
      </c>
      <c r="B37" s="14" t="s">
        <v>48</v>
      </c>
      <c r="C37" s="15" t="s">
        <v>46</v>
      </c>
      <c r="D37" s="15" t="s">
        <v>12</v>
      </c>
      <c r="E37" s="15"/>
      <c r="F37" s="15"/>
      <c r="G37" s="15"/>
    </row>
  </sheetData>
  <mergeCells count="8">
    <mergeCell ref="A23:G23"/>
    <mergeCell ref="A29:G29"/>
    <mergeCell ref="A34:G34"/>
    <mergeCell ref="A1:F1"/>
    <mergeCell ref="A2:F2"/>
    <mergeCell ref="A4:G4"/>
    <mergeCell ref="A9:G9"/>
    <mergeCell ref="A13:G13"/>
  </mergeCells>
  <conditionalFormatting sqref="D4:D37">
    <cfRule type="expression" dxfId="2" priority="2">
      <formula>$D4="Completado"</formula>
    </cfRule>
    <cfRule type="expression" dxfId="1" priority="3">
      <formula>$D4="En Progreso"</formula>
    </cfRule>
    <cfRule type="expression" dxfId="0" priority="4">
      <formula>$D4="Pendiente"</formula>
    </cfRule>
  </conditionalFormatting>
  <dataValidations count="1">
    <dataValidation type="list" allowBlank="1" sqref="D4:D60" xr:uid="{00000000-0002-0000-0000-000000000000}">
      <formula1>"Completado,En Progreso,Pendiente"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0" customWidth="1"/>
    <col min="3" max="3" width="12" customWidth="1"/>
    <col min="4" max="5" width="13" customWidth="1"/>
    <col min="6" max="6" width="12" customWidth="1"/>
    <col min="7" max="7" width="11" customWidth="1"/>
  </cols>
  <sheetData>
    <row r="1" spans="2:7" ht="15.75" customHeight="1" x14ac:dyDescent="0.25">
      <c r="B1" s="9" t="s">
        <v>49</v>
      </c>
      <c r="C1" s="9"/>
      <c r="D1" s="9"/>
      <c r="E1" s="9"/>
      <c r="F1" s="9"/>
      <c r="G1" s="9"/>
    </row>
    <row r="2" spans="2:7" ht="15" customHeight="1" x14ac:dyDescent="0.25">
      <c r="B2" s="1" t="s">
        <v>50</v>
      </c>
      <c r="C2" s="1"/>
      <c r="D2" s="1"/>
      <c r="E2" s="1"/>
      <c r="F2" s="1"/>
      <c r="G2" s="1"/>
    </row>
    <row r="3" spans="2:7" ht="15" customHeight="1" x14ac:dyDescent="0.25">
      <c r="B3" s="21" t="s">
        <v>4</v>
      </c>
      <c r="C3" s="21" t="s">
        <v>51</v>
      </c>
      <c r="D3" s="21" t="s">
        <v>52</v>
      </c>
      <c r="E3" s="21" t="s">
        <v>53</v>
      </c>
      <c r="F3" s="21" t="s">
        <v>12</v>
      </c>
      <c r="G3" s="21" t="s">
        <v>54</v>
      </c>
    </row>
    <row r="4" spans="2:7" ht="15" customHeight="1" x14ac:dyDescent="0.25">
      <c r="B4" s="22" t="s">
        <v>11</v>
      </c>
      <c r="C4" s="23">
        <v>4</v>
      </c>
      <c r="D4" s="23">
        <f>COUNTIFS('Lista de Verificación'!C$4:C$60,B4,'Lista de Verificación'!D$4:D$60,"Completado")</f>
        <v>0</v>
      </c>
      <c r="E4" s="23">
        <f>COUNTIFS('Lista de Verificación'!C$4:C$60,B4,'Lista de Verificación'!D$4:D$60,"En Progreso")</f>
        <v>0</v>
      </c>
      <c r="F4" s="23">
        <f>COUNTIFS('Lista de Verificación'!C$4:C$60,B4,'Lista de Verificación'!D$4:D$60,"Pendiente")</f>
        <v>4</v>
      </c>
      <c r="G4" s="24">
        <f t="shared" ref="G4:G10" si="0">IFERROR(D4/C4,0)</f>
        <v>0</v>
      </c>
    </row>
    <row r="5" spans="2:7" ht="15" customHeight="1" x14ac:dyDescent="0.25">
      <c r="B5" s="22" t="s">
        <v>18</v>
      </c>
      <c r="C5" s="23">
        <v>3</v>
      </c>
      <c r="D5" s="23">
        <f>COUNTIFS('Lista de Verificación'!C$4:C$60,B5,'Lista de Verificación'!D$4:D$60,"Completado")</f>
        <v>0</v>
      </c>
      <c r="E5" s="23">
        <f>COUNTIFS('Lista de Verificación'!C$4:C$60,B5,'Lista de Verificación'!D$4:D$60,"En Progreso")</f>
        <v>0</v>
      </c>
      <c r="F5" s="23">
        <f>COUNTIFS('Lista de Verificación'!C$4:C$60,B5,'Lista de Verificación'!D$4:D$60,"Pendiente")</f>
        <v>3</v>
      </c>
      <c r="G5" s="24">
        <f t="shared" si="0"/>
        <v>0</v>
      </c>
    </row>
    <row r="6" spans="2:7" ht="15" customHeight="1" x14ac:dyDescent="0.25">
      <c r="B6" s="22" t="s">
        <v>23</v>
      </c>
      <c r="C6" s="23">
        <v>9</v>
      </c>
      <c r="D6" s="23">
        <f>COUNTIFS('Lista de Verificación'!C$4:C$60,B6,'Lista de Verificación'!D$4:D$60,"Completado")</f>
        <v>0</v>
      </c>
      <c r="E6" s="23">
        <f>COUNTIFS('Lista de Verificación'!C$4:C$60,B6,'Lista de Verificación'!D$4:D$60,"En Progreso")</f>
        <v>0</v>
      </c>
      <c r="F6" s="23">
        <f>COUNTIFS('Lista de Verificación'!C$4:C$60,B6,'Lista de Verificación'!D$4:D$60,"Pendiente")</f>
        <v>9</v>
      </c>
      <c r="G6" s="24">
        <f t="shared" si="0"/>
        <v>0</v>
      </c>
    </row>
    <row r="7" spans="2:7" ht="15" customHeight="1" x14ac:dyDescent="0.25">
      <c r="B7" s="22" t="s">
        <v>34</v>
      </c>
      <c r="C7" s="23">
        <v>5</v>
      </c>
      <c r="D7" s="23">
        <f>COUNTIFS('Lista de Verificación'!C$4:C$60,B7,'Lista de Verificación'!D$4:D$60,"Completado")</f>
        <v>0</v>
      </c>
      <c r="E7" s="23">
        <f>COUNTIFS('Lista de Verificación'!C$4:C$60,B7,'Lista de Verificación'!D$4:D$60,"En Progreso")</f>
        <v>0</v>
      </c>
      <c r="F7" s="23">
        <f>COUNTIFS('Lista de Verificación'!C$4:C$60,B7,'Lista de Verificación'!D$4:D$60,"Pendiente")</f>
        <v>5</v>
      </c>
      <c r="G7" s="24">
        <f t="shared" si="0"/>
        <v>0</v>
      </c>
    </row>
    <row r="8" spans="2:7" ht="15" customHeight="1" x14ac:dyDescent="0.25">
      <c r="B8" s="22" t="s">
        <v>41</v>
      </c>
      <c r="C8" s="23">
        <v>4</v>
      </c>
      <c r="D8" s="23">
        <f>COUNTIFS('Lista de Verificación'!C$4:C$60,B8,'Lista de Verificación'!D$4:D$60,"Completado")</f>
        <v>0</v>
      </c>
      <c r="E8" s="23">
        <f>COUNTIFS('Lista de Verificación'!C$4:C$60,B8,'Lista de Verificación'!D$4:D$60,"En Progreso")</f>
        <v>0</v>
      </c>
      <c r="F8" s="23">
        <f>COUNTIFS('Lista de Verificación'!C$4:C$60,B8,'Lista de Verificación'!D$4:D$60,"Pendiente")</f>
        <v>4</v>
      </c>
      <c r="G8" s="24">
        <f t="shared" si="0"/>
        <v>0</v>
      </c>
    </row>
    <row r="9" spans="2:7" ht="15" customHeight="1" x14ac:dyDescent="0.25">
      <c r="B9" s="22" t="s">
        <v>46</v>
      </c>
      <c r="C9" s="23">
        <v>3</v>
      </c>
      <c r="D9" s="23">
        <f>COUNTIFS('Lista de Verificación'!C$4:C$60,B9,'Lista de Verificación'!D$4:D$60,"Completado")</f>
        <v>0</v>
      </c>
      <c r="E9" s="23">
        <f>COUNTIFS('Lista de Verificación'!C$4:C$60,B9,'Lista de Verificación'!D$4:D$60,"En Progreso")</f>
        <v>0</v>
      </c>
      <c r="F9" s="23">
        <f>COUNTIFS('Lista de Verificación'!C$4:C$60,B9,'Lista de Verificación'!D$4:D$60,"Pendiente")</f>
        <v>3</v>
      </c>
      <c r="G9" s="24">
        <f t="shared" si="0"/>
        <v>0</v>
      </c>
    </row>
    <row r="10" spans="2:7" ht="15" customHeight="1" x14ac:dyDescent="0.25">
      <c r="B10" s="25" t="s">
        <v>55</v>
      </c>
      <c r="C10" s="26">
        <f>SUM(C4:C9)</f>
        <v>28</v>
      </c>
      <c r="D10" s="26">
        <f>SUM(D4:D9)</f>
        <v>0</v>
      </c>
      <c r="E10" s="26">
        <f>SUM(E4:E9)</f>
        <v>0</v>
      </c>
      <c r="F10" s="26">
        <f>SUM(F4:F9)</f>
        <v>28</v>
      </c>
      <c r="G10" s="27">
        <f t="shared" si="0"/>
        <v>0</v>
      </c>
    </row>
  </sheetData>
  <mergeCells count="2">
    <mergeCell ref="B1:G1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2" customWidth="1"/>
    <col min="3" max="3" width="70" customWidth="1"/>
  </cols>
  <sheetData>
    <row r="1" spans="2:3" ht="15.75" customHeight="1" x14ac:dyDescent="0.25">
      <c r="B1" s="9" t="s">
        <v>56</v>
      </c>
      <c r="C1" s="9"/>
    </row>
    <row r="3" spans="2:3" ht="15" customHeight="1" x14ac:dyDescent="0.25">
      <c r="B3" s="28" t="s">
        <v>57</v>
      </c>
      <c r="C3" s="29" t="s">
        <v>58</v>
      </c>
    </row>
    <row r="4" spans="2:3" ht="15" customHeight="1" x14ac:dyDescent="0.25">
      <c r="B4" s="28" t="s">
        <v>59</v>
      </c>
      <c r="C4" s="29" t="s">
        <v>60</v>
      </c>
    </row>
    <row r="5" spans="2:3" ht="15" customHeight="1" x14ac:dyDescent="0.25">
      <c r="B5" s="28" t="s">
        <v>61</v>
      </c>
      <c r="C5" s="29" t="s">
        <v>62</v>
      </c>
    </row>
    <row r="6" spans="2:3" ht="23.25" customHeight="1" x14ac:dyDescent="0.25">
      <c r="B6" s="28" t="s">
        <v>63</v>
      </c>
      <c r="C6" s="29" t="s">
        <v>64</v>
      </c>
    </row>
    <row r="7" spans="2:3" ht="15" customHeight="1" x14ac:dyDescent="0.25">
      <c r="B7" s="28" t="s">
        <v>65</v>
      </c>
      <c r="C7" s="29" t="s">
        <v>66</v>
      </c>
    </row>
    <row r="8" spans="2:3" ht="15" customHeight="1" x14ac:dyDescent="0.25">
      <c r="B8" s="28" t="s">
        <v>67</v>
      </c>
      <c r="C8" s="29" t="s">
        <v>68</v>
      </c>
    </row>
    <row r="9" spans="2:3" ht="15" customHeight="1" x14ac:dyDescent="0.25">
      <c r="B9" s="28" t="s">
        <v>69</v>
      </c>
      <c r="C9" s="29" t="s">
        <v>70</v>
      </c>
    </row>
    <row r="10" spans="2:3" ht="23.25" customHeight="1" x14ac:dyDescent="0.25">
      <c r="B10" s="28" t="s">
        <v>71</v>
      </c>
      <c r="C10" s="29" t="s">
        <v>72</v>
      </c>
    </row>
    <row r="11" spans="2:3" ht="34.5" customHeight="1" x14ac:dyDescent="0.25">
      <c r="B11" s="28" t="s">
        <v>73</v>
      </c>
      <c r="C11" s="29" t="s">
        <v>74</v>
      </c>
    </row>
    <row r="12" spans="2:3" ht="23.25" customHeight="1" x14ac:dyDescent="0.25">
      <c r="B12" s="28" t="s">
        <v>75</v>
      </c>
      <c r="C12" s="29" t="s">
        <v>76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de Verificación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2026-07-10T23:21:57Z</dcterms:created>
  <dcterms:modified xsi:type="dcterms:W3CDTF">2026-07-10T23:35:43Z</dcterms:modified>
  <dc:language>en-US</dc:language>
</cp:coreProperties>
</file>