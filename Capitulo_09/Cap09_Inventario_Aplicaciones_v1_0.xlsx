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91CFF771C718DF889E72C7BB71C5C2CF887F2EB0" xr6:coauthVersionLast="47" xr6:coauthVersionMax="47" xr10:uidLastSave="{6E4BFC28-C9C8-44BA-8896-10F786D5199B}"/>
  <bookViews>
    <workbookView xWindow="2745" yWindow="1125" windowWidth="21600" windowHeight="14100" tabRatio="500" xr2:uid="{00000000-000D-0000-FFFF-FFFF00000000}"/>
  </bookViews>
  <sheets>
    <sheet name="Inventario" sheetId="1" r:id="rId1"/>
    <sheet name="Dashboar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2" l="1"/>
  <c r="B40" i="2"/>
  <c r="B39" i="2"/>
  <c r="B38" i="2"/>
  <c r="B42" i="2" s="1"/>
  <c r="B34" i="2"/>
  <c r="B33" i="2"/>
  <c r="B32" i="2"/>
  <c r="B31" i="2"/>
  <c r="B35" i="2" s="1"/>
  <c r="B27" i="2"/>
  <c r="B26" i="2"/>
  <c r="B25" i="2"/>
  <c r="B24" i="2"/>
  <c r="B23" i="2"/>
  <c r="B22" i="2"/>
  <c r="B21" i="2"/>
  <c r="B20" i="2"/>
  <c r="B19" i="2"/>
  <c r="B18" i="2"/>
  <c r="B28" i="2" s="1"/>
  <c r="B17" i="2"/>
  <c r="B14" i="2"/>
  <c r="B13" i="2"/>
  <c r="B12" i="2"/>
  <c r="B8" i="2"/>
  <c r="B7" i="2"/>
  <c r="B6" i="2"/>
  <c r="B5" i="2"/>
  <c r="B9" i="2" s="1"/>
</calcChain>
</file>

<file path=xl/sharedStrings.xml><?xml version="1.0" encoding="utf-8"?>
<sst xmlns="http://schemas.openxmlformats.org/spreadsheetml/2006/main" count="55" uniqueCount="50">
  <si>
    <t>CIBERPROTECCIÓN PARA PyMES  ·  Capítulo 9 — Aplicaciones</t>
  </si>
  <si>
    <t>Inventario de Aplicaciones</t>
  </si>
  <si>
    <t>N°</t>
  </si>
  <si>
    <t>Nombre de la aplicación</t>
  </si>
  <si>
    <t>Proveedor / Desarrollador</t>
  </si>
  <si>
    <t>Tipo</t>
  </si>
  <si>
    <t>Categoría funcional</t>
  </si>
  <si>
    <t>Entorno de ejecución</t>
  </si>
  <si>
    <t>Versión instalada</t>
  </si>
  <si>
    <t>Estado de licenciamiento</t>
  </si>
  <si>
    <t>Propietario funcional</t>
  </si>
  <si>
    <t>Responsable técnico</t>
  </si>
  <si>
    <t>Naturaleza de los datos</t>
  </si>
  <si>
    <t>Nivel de criticidad</t>
  </si>
  <si>
    <t>Fecha de puesta en producción</t>
  </si>
  <si>
    <t>Fecha de última actualización</t>
  </si>
  <si>
    <t>Observaciones</t>
  </si>
  <si>
    <t>Dashboard — Inventario de Aplicaciones</t>
  </si>
  <si>
    <t>Por nivel de criticidad</t>
  </si>
  <si>
    <t>Crítica</t>
  </si>
  <si>
    <t>Alta</t>
  </si>
  <si>
    <t>Media</t>
  </si>
  <si>
    <t>Baja</t>
  </si>
  <si>
    <t>TOTAL</t>
  </si>
  <si>
    <t>Por tipo</t>
  </si>
  <si>
    <t>Comercial</t>
  </si>
  <si>
    <t>Desarrollo propio</t>
  </si>
  <si>
    <t>Por categoría funcional</t>
  </si>
  <si>
    <t>ERP</t>
  </si>
  <si>
    <t>CRM</t>
  </si>
  <si>
    <t>Contabilidad y Finanzas</t>
  </si>
  <si>
    <t>Nómina / RR. HH.</t>
  </si>
  <si>
    <t>Ofimática</t>
  </si>
  <si>
    <t>Correo electrónico</t>
  </si>
  <si>
    <t>Comunicaciones y colaboración</t>
  </si>
  <si>
    <t>Gestión de proyectos</t>
  </si>
  <si>
    <t>Diseño / Creatividad</t>
  </si>
  <si>
    <t>Seguridad</t>
  </si>
  <si>
    <t>Otra</t>
  </si>
  <si>
    <t>Por entorno de ejecución</t>
  </si>
  <si>
    <t>Local</t>
  </si>
  <si>
    <t>On-premise</t>
  </si>
  <si>
    <t>Nube</t>
  </si>
  <si>
    <t>SaaS</t>
  </si>
  <si>
    <t>Por estado de licenciamiento</t>
  </si>
  <si>
    <t>Vigente</t>
  </si>
  <si>
    <t>Próximo a vencer</t>
  </si>
  <si>
    <t>Vencida</t>
  </si>
  <si>
    <t>No aplica</t>
  </si>
  <si>
    <t>Nota: registre cada aplicación en la hoja Inventario. Este dashboard se actualiza automáticamente.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</si>
</sst>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i/>
      <sz val="9"/>
      <color rgb="FF555555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0F3F6E"/>
        <bgColor rgb="FF333399"/>
      </patternFill>
    </fill>
    <fill>
      <patternFill patternType="solid">
        <fgColor rgb="FF185FA5"/>
        <bgColor rgb="FF0F3F6E"/>
      </patternFill>
    </fill>
    <fill>
      <patternFill patternType="solid">
        <fgColor rgb="FFFFFFFF"/>
        <bgColor rgb="FFF5F5F2"/>
      </patternFill>
    </fill>
    <fill>
      <patternFill patternType="solid">
        <fgColor rgb="FFF5F5F2"/>
        <bgColor rgb="FFFFFFFF"/>
      </patternFill>
    </fill>
    <fill>
      <patternFill patternType="solid">
        <fgColor rgb="FFEAEAEA"/>
        <bgColor rgb="FFF5F5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6" fillId="0" borderId="0" xfId="0" applyFont="1"/>
    <xf numFmtId="0" fontId="3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4" borderId="1" xfId="0" applyFont="1" applyFill="1" applyBorder="1"/>
    <xf numFmtId="0" fontId="4" fillId="5" borderId="1" xfId="0" applyFont="1" applyFill="1" applyBorder="1"/>
    <xf numFmtId="0" fontId="5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2"/>
      <rgbColor rgb="FFEAEAEA"/>
      <rgbColor rgb="FF660066"/>
      <rgbColor rgb="FFFF8080"/>
      <rgbColor rgb="FF185FA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F3F6E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showGridLines="0" tabSelected="1" zoomScaleNormal="100" workbookViewId="0">
      <pane ySplit="3" topLeftCell="A4" activePane="bottomLeft" state="frozen"/>
      <selection pane="bottomLeft" activeCell="H8" sqref="H8"/>
    </sheetView>
  </sheetViews>
  <sheetFormatPr baseColWidth="10" defaultColWidth="8.7109375" defaultRowHeight="15" x14ac:dyDescent="0.25"/>
  <cols>
    <col min="1" max="1" width="5" customWidth="1"/>
    <col min="2" max="2" width="26" customWidth="1"/>
    <col min="3" max="3" width="22" customWidth="1"/>
    <col min="4" max="4" width="16" customWidth="1"/>
    <col min="5" max="5" width="20" customWidth="1"/>
    <col min="6" max="6" width="16" customWidth="1"/>
    <col min="7" max="7" width="14" customWidth="1"/>
    <col min="8" max="10" width="18" customWidth="1"/>
    <col min="11" max="11" width="20" customWidth="1"/>
    <col min="12" max="12" width="14" customWidth="1"/>
    <col min="13" max="13" width="16" customWidth="1"/>
    <col min="14" max="14" width="18" customWidth="1"/>
    <col min="15" max="15" width="26" customWidth="1"/>
  </cols>
  <sheetData>
    <row r="1" spans="1:15" ht="27.7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21.75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30" customHeight="1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</row>
    <row r="4" spans="1:15" ht="18" customHeight="1" x14ac:dyDescent="0.25">
      <c r="A4" s="6">
        <v>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ht="18" customHeight="1" x14ac:dyDescent="0.25">
      <c r="A5" s="7">
        <v>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18" customHeight="1" x14ac:dyDescent="0.25">
      <c r="A6" s="6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ht="18" customHeight="1" x14ac:dyDescent="0.25">
      <c r="A7" s="7">
        <v>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18" customHeight="1" x14ac:dyDescent="0.25">
      <c r="A8" s="6">
        <v>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ht="18" customHeight="1" x14ac:dyDescent="0.25">
      <c r="A9" s="7">
        <v>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ht="18" customHeight="1" x14ac:dyDescent="0.25">
      <c r="A10" s="6">
        <v>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ht="18" customHeight="1" x14ac:dyDescent="0.25">
      <c r="A11" s="7">
        <v>8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ht="18" customHeight="1" x14ac:dyDescent="0.25">
      <c r="A12" s="6">
        <v>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ht="18" customHeight="1" x14ac:dyDescent="0.25">
      <c r="A13" s="7">
        <v>10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ht="18" customHeight="1" x14ac:dyDescent="0.25">
      <c r="A14" s="6">
        <v>11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ht="18" customHeight="1" x14ac:dyDescent="0.25">
      <c r="A15" s="7">
        <v>12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ht="18" customHeight="1" x14ac:dyDescent="0.25">
      <c r="A16" s="6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8" customHeight="1" x14ac:dyDescent="0.25">
      <c r="A17" s="7">
        <v>14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8" customHeight="1" x14ac:dyDescent="0.25">
      <c r="A18" s="6">
        <v>15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8" customHeight="1" x14ac:dyDescent="0.25">
      <c r="A19" s="7">
        <v>16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8" customHeight="1" x14ac:dyDescent="0.25">
      <c r="A20" s="6">
        <v>17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8" customHeight="1" x14ac:dyDescent="0.25">
      <c r="A21" s="7">
        <v>18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8" customHeight="1" x14ac:dyDescent="0.25">
      <c r="A22" s="6">
        <v>19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8" customHeight="1" x14ac:dyDescent="0.25">
      <c r="A23" s="7">
        <v>20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8" customHeight="1" x14ac:dyDescent="0.25">
      <c r="A24" s="6">
        <v>21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8" customHeight="1" x14ac:dyDescent="0.25">
      <c r="A25" s="7">
        <v>22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8" customHeight="1" x14ac:dyDescent="0.25">
      <c r="A26" s="6">
        <v>23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8" customHeight="1" x14ac:dyDescent="0.25">
      <c r="A27" s="7">
        <v>24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ht="18" customHeight="1" x14ac:dyDescent="0.25">
      <c r="A28" s="6">
        <v>25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ht="18" customHeight="1" x14ac:dyDescent="0.25">
      <c r="A29" s="7">
        <v>26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ht="18" customHeight="1" x14ac:dyDescent="0.25">
      <c r="A30" s="6">
        <v>27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ht="18" customHeight="1" x14ac:dyDescent="0.25">
      <c r="A31" s="7">
        <v>28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ht="18" customHeight="1" x14ac:dyDescent="0.25">
      <c r="A32" s="6">
        <v>29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ht="18" customHeight="1" x14ac:dyDescent="0.25">
      <c r="A33" s="7">
        <v>30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</sheetData>
  <mergeCells count="2">
    <mergeCell ref="A1:O1"/>
    <mergeCell ref="A2:O2"/>
  </mergeCells>
  <dataValidations count="5">
    <dataValidation type="list" allowBlank="1" sqref="D4:D33" xr:uid="{00000000-0002-0000-0000-000000000000}">
      <formula1>"Comercial,Desarrollo propio"</formula1>
      <formula2>0</formula2>
    </dataValidation>
    <dataValidation type="list" allowBlank="1" sqref="E4:E33" xr:uid="{00000000-0002-0000-0000-000001000000}">
      <formula1>"ERP,CRM,Contabilidad y Finanzas,Nómina / RR. HH.,Ofimática,Correo electrónico,Comunicaciones y colaboración,Gestión de proyectos,Diseño / Creatividad,Seguridad,Otra"</formula1>
      <formula2>0</formula2>
    </dataValidation>
    <dataValidation type="list" allowBlank="1" sqref="F4:F33" xr:uid="{00000000-0002-0000-0000-000002000000}">
      <formula1>"Local,On-premise,Nube,SaaS"</formula1>
      <formula2>0</formula2>
    </dataValidation>
    <dataValidation type="list" allowBlank="1" sqref="H4:H33" xr:uid="{00000000-0002-0000-0000-000003000000}">
      <formula1>"Vigente,Próximo a vencer,Vencida,No aplica"</formula1>
      <formula2>0</formula2>
    </dataValidation>
    <dataValidation type="list" allowBlank="1" sqref="L4:L33" xr:uid="{00000000-0002-0000-0000-000004000000}">
      <formula1>"Crítica,Alta,Media,Baja"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showGridLines="0" zoomScaleNormal="100" workbookViewId="0"/>
  </sheetViews>
  <sheetFormatPr baseColWidth="10" defaultColWidth="8.7109375" defaultRowHeight="15" x14ac:dyDescent="0.25"/>
  <cols>
    <col min="1" max="1" width="30" customWidth="1"/>
    <col min="2" max="2" width="14" customWidth="1"/>
  </cols>
  <sheetData>
    <row r="1" spans="1:4" ht="27.75" customHeight="1" x14ac:dyDescent="0.25">
      <c r="A1" s="4" t="s">
        <v>0</v>
      </c>
      <c r="B1" s="4"/>
      <c r="C1" s="4"/>
      <c r="D1" s="4"/>
    </row>
    <row r="2" spans="1:4" ht="21.75" customHeight="1" x14ac:dyDescent="0.25">
      <c r="A2" s="3" t="s">
        <v>17</v>
      </c>
      <c r="B2" s="3"/>
      <c r="C2" s="3"/>
      <c r="D2" s="3"/>
    </row>
    <row r="4" spans="1:4" x14ac:dyDescent="0.25">
      <c r="A4" s="2" t="s">
        <v>18</v>
      </c>
      <c r="B4" s="2"/>
    </row>
    <row r="5" spans="1:4" x14ac:dyDescent="0.25">
      <c r="A5" s="8" t="s">
        <v>19</v>
      </c>
      <c r="B5" s="8">
        <f>COUNTIF(Inventario!L4:L33,"Crítica")</f>
        <v>0</v>
      </c>
    </row>
    <row r="6" spans="1:4" x14ac:dyDescent="0.25">
      <c r="A6" s="9" t="s">
        <v>20</v>
      </c>
      <c r="B6" s="9">
        <f>COUNTIF(Inventario!L4:L33,"Alta")</f>
        <v>0</v>
      </c>
    </row>
    <row r="7" spans="1:4" x14ac:dyDescent="0.25">
      <c r="A7" s="8" t="s">
        <v>21</v>
      </c>
      <c r="B7" s="8">
        <f>COUNTIF(Inventario!L4:L33,"Media")</f>
        <v>0</v>
      </c>
    </row>
    <row r="8" spans="1:4" x14ac:dyDescent="0.25">
      <c r="A8" s="9" t="s">
        <v>22</v>
      </c>
      <c r="B8" s="9">
        <f>COUNTIF(Inventario!L4:L33,"Baja")</f>
        <v>0</v>
      </c>
    </row>
    <row r="9" spans="1:4" x14ac:dyDescent="0.25">
      <c r="A9" s="10" t="s">
        <v>23</v>
      </c>
      <c r="B9" s="10">
        <f>SUM(B5:B8)</f>
        <v>0</v>
      </c>
    </row>
    <row r="11" spans="1:4" x14ac:dyDescent="0.25">
      <c r="A11" s="2" t="s">
        <v>24</v>
      </c>
      <c r="B11" s="2"/>
    </row>
    <row r="12" spans="1:4" x14ac:dyDescent="0.25">
      <c r="A12" s="8" t="s">
        <v>25</v>
      </c>
      <c r="B12" s="8">
        <f>COUNTIF(Inventario!D4:D33,"Comercial")</f>
        <v>0</v>
      </c>
    </row>
    <row r="13" spans="1:4" x14ac:dyDescent="0.25">
      <c r="A13" s="9" t="s">
        <v>26</v>
      </c>
      <c r="B13" s="9">
        <f>COUNTIF(Inventario!D4:D33,"Desarrollo propio")</f>
        <v>0</v>
      </c>
    </row>
    <row r="14" spans="1:4" x14ac:dyDescent="0.25">
      <c r="A14" s="10" t="s">
        <v>23</v>
      </c>
      <c r="B14" s="10">
        <f>SUM(B12:B13)</f>
        <v>0</v>
      </c>
    </row>
    <row r="16" spans="1:4" x14ac:dyDescent="0.25">
      <c r="A16" s="2" t="s">
        <v>27</v>
      </c>
      <c r="B16" s="2"/>
    </row>
    <row r="17" spans="1:2" x14ac:dyDescent="0.25">
      <c r="A17" s="8" t="s">
        <v>28</v>
      </c>
      <c r="B17" s="8">
        <f>COUNTIF(Inventario!E4:E33,"ERP")</f>
        <v>0</v>
      </c>
    </row>
    <row r="18" spans="1:2" x14ac:dyDescent="0.25">
      <c r="A18" s="9" t="s">
        <v>29</v>
      </c>
      <c r="B18" s="9">
        <f>COUNTIF(Inventario!E4:E33,"CRM")</f>
        <v>0</v>
      </c>
    </row>
    <row r="19" spans="1:2" x14ac:dyDescent="0.25">
      <c r="A19" s="8" t="s">
        <v>30</v>
      </c>
      <c r="B19" s="8">
        <f>COUNTIF(Inventario!E4:E33,"Contabilidad y Finanzas")</f>
        <v>0</v>
      </c>
    </row>
    <row r="20" spans="1:2" x14ac:dyDescent="0.25">
      <c r="A20" s="9" t="s">
        <v>31</v>
      </c>
      <c r="B20" s="9">
        <f>COUNTIF(Inventario!E4:E33,"Nómina / RR. HH.")</f>
        <v>0</v>
      </c>
    </row>
    <row r="21" spans="1:2" x14ac:dyDescent="0.25">
      <c r="A21" s="8" t="s">
        <v>32</v>
      </c>
      <c r="B21" s="8">
        <f>COUNTIF(Inventario!E4:E33,"Ofimática")</f>
        <v>0</v>
      </c>
    </row>
    <row r="22" spans="1:2" x14ac:dyDescent="0.25">
      <c r="A22" s="9" t="s">
        <v>33</v>
      </c>
      <c r="B22" s="9">
        <f>COUNTIF(Inventario!E4:E33,"Correo electrónico")</f>
        <v>0</v>
      </c>
    </row>
    <row r="23" spans="1:2" x14ac:dyDescent="0.25">
      <c r="A23" s="8" t="s">
        <v>34</v>
      </c>
      <c r="B23" s="8">
        <f>COUNTIF(Inventario!E4:E33,"Comunicaciones y colaboración")</f>
        <v>0</v>
      </c>
    </row>
    <row r="24" spans="1:2" x14ac:dyDescent="0.25">
      <c r="A24" s="9" t="s">
        <v>35</v>
      </c>
      <c r="B24" s="9">
        <f>COUNTIF(Inventario!E4:E33,"Gestión de proyectos")</f>
        <v>0</v>
      </c>
    </row>
    <row r="25" spans="1:2" x14ac:dyDescent="0.25">
      <c r="A25" s="8" t="s">
        <v>36</v>
      </c>
      <c r="B25" s="8">
        <f>COUNTIF(Inventario!E4:E33,"Diseño / Creatividad")</f>
        <v>0</v>
      </c>
    </row>
    <row r="26" spans="1:2" x14ac:dyDescent="0.25">
      <c r="A26" s="9" t="s">
        <v>37</v>
      </c>
      <c r="B26" s="9">
        <f>COUNTIF(Inventario!E4:E33,"Seguridad")</f>
        <v>0</v>
      </c>
    </row>
    <row r="27" spans="1:2" x14ac:dyDescent="0.25">
      <c r="A27" s="8" t="s">
        <v>38</v>
      </c>
      <c r="B27" s="8">
        <f>COUNTIF(Inventario!E4:E33,"Otra")</f>
        <v>0</v>
      </c>
    </row>
    <row r="28" spans="1:2" x14ac:dyDescent="0.25">
      <c r="A28" s="10" t="s">
        <v>23</v>
      </c>
      <c r="B28" s="10">
        <f>SUM(B17:B27)</f>
        <v>0</v>
      </c>
    </row>
    <row r="30" spans="1:2" x14ac:dyDescent="0.25">
      <c r="A30" s="2" t="s">
        <v>39</v>
      </c>
      <c r="B30" s="2"/>
    </row>
    <row r="31" spans="1:2" x14ac:dyDescent="0.25">
      <c r="A31" s="8" t="s">
        <v>40</v>
      </c>
      <c r="B31" s="8">
        <f>COUNTIF(Inventario!F4:F33,"Local")</f>
        <v>0</v>
      </c>
    </row>
    <row r="32" spans="1:2" x14ac:dyDescent="0.25">
      <c r="A32" s="9" t="s">
        <v>41</v>
      </c>
      <c r="B32" s="9">
        <f>COUNTIF(Inventario!F4:F33,"On-premise")</f>
        <v>0</v>
      </c>
    </row>
    <row r="33" spans="1:4" x14ac:dyDescent="0.25">
      <c r="A33" s="8" t="s">
        <v>42</v>
      </c>
      <c r="B33" s="8">
        <f>COUNTIF(Inventario!F4:F33,"Nube")</f>
        <v>0</v>
      </c>
    </row>
    <row r="34" spans="1:4" x14ac:dyDescent="0.25">
      <c r="A34" s="9" t="s">
        <v>43</v>
      </c>
      <c r="B34" s="9">
        <f>COUNTIF(Inventario!F4:F33,"SaaS")</f>
        <v>0</v>
      </c>
    </row>
    <row r="35" spans="1:4" x14ac:dyDescent="0.25">
      <c r="A35" s="10" t="s">
        <v>23</v>
      </c>
      <c r="B35" s="10">
        <f>SUM(B31:B34)</f>
        <v>0</v>
      </c>
    </row>
    <row r="37" spans="1:4" x14ac:dyDescent="0.25">
      <c r="A37" s="2" t="s">
        <v>44</v>
      </c>
      <c r="B37" s="2"/>
    </row>
    <row r="38" spans="1:4" x14ac:dyDescent="0.25">
      <c r="A38" s="8" t="s">
        <v>45</v>
      </c>
      <c r="B38" s="8">
        <f>COUNTIF(Inventario!H4:H33,"Vigente")</f>
        <v>0</v>
      </c>
    </row>
    <row r="39" spans="1:4" x14ac:dyDescent="0.25">
      <c r="A39" s="9" t="s">
        <v>46</v>
      </c>
      <c r="B39" s="9">
        <f>COUNTIF(Inventario!H4:H33,"Próximo a vencer")</f>
        <v>0</v>
      </c>
    </row>
    <row r="40" spans="1:4" x14ac:dyDescent="0.25">
      <c r="A40" s="8" t="s">
        <v>47</v>
      </c>
      <c r="B40" s="8">
        <f>COUNTIF(Inventario!H4:H33,"Vencida")</f>
        <v>0</v>
      </c>
    </row>
    <row r="41" spans="1:4" x14ac:dyDescent="0.25">
      <c r="A41" s="9" t="s">
        <v>48</v>
      </c>
      <c r="B41" s="9">
        <f>COUNTIF(Inventario!H4:H33,"No aplica")</f>
        <v>0</v>
      </c>
    </row>
    <row r="42" spans="1:4" x14ac:dyDescent="0.25">
      <c r="A42" s="10" t="s">
        <v>23</v>
      </c>
      <c r="B42" s="10">
        <f>SUM(B38:B41)</f>
        <v>0</v>
      </c>
    </row>
    <row r="44" spans="1:4" x14ac:dyDescent="0.25">
      <c r="A44" s="1" t="s">
        <v>49</v>
      </c>
      <c r="B44" s="1"/>
      <c r="C44" s="1"/>
      <c r="D44" s="1"/>
    </row>
  </sheetData>
  <mergeCells count="8">
    <mergeCell ref="A30:B30"/>
    <mergeCell ref="A37:B37"/>
    <mergeCell ref="A44:D44"/>
    <mergeCell ref="A1:D1"/>
    <mergeCell ref="A2:D2"/>
    <mergeCell ref="A4:B4"/>
    <mergeCell ref="A11:B11"/>
    <mergeCell ref="A16:B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2026-07-08T17:57:30Z</dcterms:created>
  <dcterms:modified xsi:type="dcterms:W3CDTF">2026-07-08T17:59:15Z</dcterms:modified>
  <dc:language>en-US</dc:language>
</cp:coreProperties>
</file>