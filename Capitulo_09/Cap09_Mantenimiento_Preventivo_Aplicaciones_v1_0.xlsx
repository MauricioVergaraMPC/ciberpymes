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openitsoft-my.sharepoint.com/personal/mvergara_openitnet_com/Documents/Desktop/"/>
    </mc:Choice>
  </mc:AlternateContent>
  <xr:revisionPtr revIDLastSave="2" documentId="11_F3323679C638D83DA58CD5E5629F1E3E365E4ECE" xr6:coauthVersionLast="47" xr6:coauthVersionMax="47" xr10:uidLastSave="{EDD6D45C-1062-4216-BE8F-C429C607EE8C}"/>
  <bookViews>
    <workbookView xWindow="1560" yWindow="1560" windowWidth="21600" windowHeight="11505" tabRatio="500" xr2:uid="{00000000-000D-0000-FFFF-FFFF00000000}"/>
  </bookViews>
  <sheets>
    <sheet name="Checklist" sheetId="1" r:id="rId1"/>
    <sheet name="Dashboard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7" i="2" l="1"/>
  <c r="F6" i="2"/>
  <c r="E6" i="2"/>
  <c r="D6" i="2"/>
  <c r="C6" i="2"/>
  <c r="B6" i="2"/>
  <c r="B7" i="2" s="1"/>
  <c r="F5" i="2"/>
  <c r="E5" i="2"/>
  <c r="D5" i="2"/>
  <c r="C5" i="2"/>
  <c r="B5" i="2"/>
  <c r="F4" i="2"/>
  <c r="E4" i="2"/>
  <c r="E7" i="2" s="1"/>
  <c r="D4" i="2"/>
  <c r="D7" i="2" s="1"/>
  <c r="C4" i="2"/>
  <c r="C7" i="2" s="1"/>
  <c r="B4" i="2"/>
</calcChain>
</file>

<file path=xl/sharedStrings.xml><?xml version="1.0" encoding="utf-8"?>
<sst xmlns="http://schemas.openxmlformats.org/spreadsheetml/2006/main" count="46" uniqueCount="31">
  <si>
    <t>CIBERPROTECCIÓN PARA PyMES  ·  Capítulo 9 — Aplicaciones</t>
  </si>
  <si>
    <t>Mantenimiento Preventivo de Aplicaciones</t>
  </si>
  <si>
    <t>Frecuencia</t>
  </si>
  <si>
    <t>N°</t>
  </si>
  <si>
    <t>Tarea de mantenimiento</t>
  </si>
  <si>
    <t>Estado</t>
  </si>
  <si>
    <t>Responsable</t>
  </si>
  <si>
    <t>Fecha de ejecución</t>
  </si>
  <si>
    <t>Observaciones</t>
  </si>
  <si>
    <t>SEMANAL</t>
  </si>
  <si>
    <t>Verificar que las versiones aprobadas en la DSL corresponden a las versiones realmente instaladas en producción, conforme a lo descrito en "Auditar versiones instaladas"</t>
  </si>
  <si>
    <t>Pendiente</t>
  </si>
  <si>
    <t>Revisar el estado de los KRI-APP de respuesta inmediata (KRI-APP-01, 02, 03) y confirmar que las desviaciones abiertas tienen acción en curso</t>
  </si>
  <si>
    <t>Confirmar que no se han detectado aplicaciones fuera del proceso formal de incorporación (Shadow IT)</t>
  </si>
  <si>
    <t>MENSUAL</t>
  </si>
  <si>
    <t>Revisar el backlog de hallazgos de SAST y SCA pendientes de remediación, verificando que ninguno de severidad crítica o alta supere el plazo definido en la Política de Desarrollo Seguro</t>
  </si>
  <si>
    <t>Verificar el estado de licenciamiento de las aplicaciones críticas y confirmar que ninguna se encuentra vencida o próxima a vencer sin gestión de renovación en curso (KRI-APP-04)</t>
  </si>
  <si>
    <t>Revisar las cuentas de usuario y privilegios de administrador dentro de las aplicaciones de criticidad alta, conforme a lo descrito en "Gestionar permisos de usuarios"</t>
  </si>
  <si>
    <t>Confirmar que los permisos de solo lectura sobre la unidad de almacenamiento de la DSL siguen restringidos correctamente para los usuarios generales</t>
  </si>
  <si>
    <t>TRIMESTRAL</t>
  </si>
  <si>
    <t>Ejecutar una prueba del canal de reporte de vulnerabilidades, confirmando que un mensaje de prueba recibe respuesta dentro del plazo de 48 horas definido en la Función de Respuesta</t>
  </si>
  <si>
    <t>Auditar las cuentas no-humanas (servicios, cron jobs, integraciones) registradas dentro de las aplicaciones críticas y confirmar que cada una conserva un responsable y una función vigente</t>
  </si>
  <si>
    <t>Revisar el inventario de aplicaciones completo contra el listado de licencias activas, identificando aplicaciones en desuso que puedan darse de baja</t>
  </si>
  <si>
    <t>TOTAL TAREAS</t>
  </si>
  <si>
    <t>Dashboard — Estado del Mantenimiento Preventivo</t>
  </si>
  <si>
    <t>Total tareas</t>
  </si>
  <si>
    <t>En progreso</t>
  </si>
  <si>
    <t>Completada</t>
  </si>
  <si>
    <t>No aplica</t>
  </si>
  <si>
    <t>TOTAL GENERAL</t>
  </si>
  <si>
    <t>Nota: cambie el estado de cada tarea en la hoja Checklist. Este dashboard se actualiza automáticamente.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</si>
</sst>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3"/>
      <color rgb="FFFFFFFF"/>
      <name val="Calibri"/>
      <charset val="1"/>
    </font>
    <font>
      <b/>
      <sz val="11"/>
      <color rgb="FFFFFFFF"/>
      <name val="Calibri"/>
      <charset val="1"/>
    </font>
    <font>
      <b/>
      <sz val="10"/>
      <color rgb="FFFFFFFF"/>
      <name val="Calibri"/>
      <charset val="1"/>
    </font>
    <font>
      <b/>
      <sz val="9"/>
      <color rgb="FFFFFFFF"/>
      <name val="Calibri"/>
      <charset val="1"/>
    </font>
    <font>
      <sz val="10"/>
      <name val="Calibri"/>
      <charset val="1"/>
    </font>
    <font>
      <b/>
      <sz val="10"/>
      <name val="Calibri"/>
      <charset val="1"/>
    </font>
    <font>
      <i/>
      <sz val="9"/>
      <color rgb="FF808080"/>
      <name val="Calibri"/>
      <charset val="1"/>
    </font>
  </fonts>
  <fills count="9">
    <fill>
      <patternFill patternType="none"/>
    </fill>
    <fill>
      <patternFill patternType="gray125"/>
    </fill>
    <fill>
      <patternFill patternType="solid">
        <fgColor rgb="FF0F3F6E"/>
        <bgColor rgb="FF333399"/>
      </patternFill>
    </fill>
    <fill>
      <patternFill patternType="solid">
        <fgColor rgb="FF185FA5"/>
        <bgColor rgb="FF2E6DA4"/>
      </patternFill>
    </fill>
    <fill>
      <patternFill patternType="solid">
        <fgColor rgb="FF2E6DA4"/>
        <bgColor rgb="FF185FA5"/>
      </patternFill>
    </fill>
    <fill>
      <patternFill patternType="solid">
        <fgColor rgb="FFFFFFFF"/>
        <bgColor rgb="FFF5F5F2"/>
      </patternFill>
    </fill>
    <fill>
      <patternFill patternType="solid">
        <fgColor rgb="FFF5F5F2"/>
        <bgColor rgb="FFFFFFFF"/>
      </patternFill>
    </fill>
    <fill>
      <patternFill patternType="solid">
        <fgColor rgb="FFBA7517"/>
        <bgColor rgb="FFFF6600"/>
      </patternFill>
    </fill>
    <fill>
      <patternFill patternType="solid">
        <fgColor rgb="FF3B6D11"/>
        <bgColor rgb="FF33996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8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3B6D11"/>
      <rgbColor rgb="FF000080"/>
      <rgbColor rgb="FFBA7517"/>
      <rgbColor rgb="FF800080"/>
      <rgbColor rgb="FF008080"/>
      <rgbColor rgb="FFC0C0C0"/>
      <rgbColor rgb="FF808080"/>
      <rgbColor rgb="FF9999FF"/>
      <rgbColor rgb="FF993366"/>
      <rgbColor rgb="FFF5F5F2"/>
      <rgbColor rgb="FFCCFFFF"/>
      <rgbColor rgb="FF660066"/>
      <rgbColor rgb="FFFF8080"/>
      <rgbColor rgb="FF185FA5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6DA4"/>
      <rgbColor rgb="FF33CCCC"/>
      <rgbColor rgb="FF99CC00"/>
      <rgbColor rgb="FFFFCC00"/>
      <rgbColor rgb="FFFF9900"/>
      <rgbColor rgb="FFFF6600"/>
      <rgbColor rgb="FF666699"/>
      <rgbColor rgb="FF969696"/>
      <rgbColor rgb="FF0F3F6E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zoomScaleNormal="100" workbookViewId="0">
      <pane ySplit="3" topLeftCell="A4" activePane="bottomLeft" state="frozen"/>
      <selection pane="bottomLeft" activeCell="H5" sqref="H5"/>
    </sheetView>
  </sheetViews>
  <sheetFormatPr baseColWidth="10" defaultColWidth="8.7109375" defaultRowHeight="15" x14ac:dyDescent="0.25"/>
  <cols>
    <col min="1" max="1" width="14" customWidth="1"/>
    <col min="2" max="2" width="4" customWidth="1"/>
    <col min="3" max="3" width="72" customWidth="1"/>
    <col min="4" max="4" width="18" customWidth="1"/>
    <col min="5" max="5" width="11.85546875" customWidth="1"/>
    <col min="6" max="6" width="14" customWidth="1"/>
    <col min="7" max="7" width="36" customWidth="1"/>
  </cols>
  <sheetData>
    <row r="1" spans="1:7" ht="17.100000000000001" customHeight="1" x14ac:dyDescent="0.25">
      <c r="A1" s="8" t="s">
        <v>0</v>
      </c>
      <c r="B1" s="8"/>
      <c r="C1" s="8"/>
      <c r="D1" s="8"/>
      <c r="E1" s="8"/>
      <c r="F1" s="8"/>
      <c r="G1" s="8"/>
    </row>
    <row r="2" spans="1:7" ht="15" customHeight="1" x14ac:dyDescent="0.25">
      <c r="A2" s="7" t="s">
        <v>1</v>
      </c>
      <c r="B2" s="7"/>
      <c r="C2" s="7"/>
      <c r="D2" s="7"/>
      <c r="E2" s="7"/>
      <c r="F2" s="7"/>
      <c r="G2" s="7"/>
    </row>
    <row r="3" spans="1:7" ht="25.5" x14ac:dyDescent="0.25">
      <c r="A3" s="9" t="s">
        <v>2</v>
      </c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</row>
    <row r="4" spans="1:7" ht="23.85" customHeight="1" x14ac:dyDescent="0.25">
      <c r="A4" s="6" t="s">
        <v>9</v>
      </c>
      <c r="B4" s="10">
        <v>1</v>
      </c>
      <c r="C4" s="11" t="s">
        <v>10</v>
      </c>
      <c r="D4" s="10" t="s">
        <v>11</v>
      </c>
      <c r="E4" s="10"/>
      <c r="F4" s="10"/>
      <c r="G4" s="10"/>
    </row>
    <row r="5" spans="1:7" ht="25.5" x14ac:dyDescent="0.25">
      <c r="A5" s="6"/>
      <c r="B5" s="12">
        <v>2</v>
      </c>
      <c r="C5" s="13" t="s">
        <v>12</v>
      </c>
      <c r="D5" s="12" t="s">
        <v>11</v>
      </c>
      <c r="E5" s="12"/>
      <c r="F5" s="12"/>
      <c r="G5" s="12"/>
    </row>
    <row r="6" spans="1:7" ht="25.5" x14ac:dyDescent="0.25">
      <c r="A6" s="6"/>
      <c r="B6" s="10">
        <v>3</v>
      </c>
      <c r="C6" s="11" t="s">
        <v>13</v>
      </c>
      <c r="D6" s="10" t="s">
        <v>11</v>
      </c>
      <c r="E6" s="10"/>
      <c r="F6" s="10"/>
      <c r="G6" s="10"/>
    </row>
    <row r="7" spans="1:7" ht="23.85" customHeight="1" x14ac:dyDescent="0.25">
      <c r="A7" s="5" t="s">
        <v>14</v>
      </c>
      <c r="B7" s="10">
        <v>1</v>
      </c>
      <c r="C7" s="11" t="s">
        <v>15</v>
      </c>
      <c r="D7" s="10" t="s">
        <v>11</v>
      </c>
      <c r="E7" s="10"/>
      <c r="F7" s="10"/>
      <c r="G7" s="10"/>
    </row>
    <row r="8" spans="1:7" ht="38.25" x14ac:dyDescent="0.25">
      <c r="A8" s="5"/>
      <c r="B8" s="12">
        <v>2</v>
      </c>
      <c r="C8" s="13" t="s">
        <v>16</v>
      </c>
      <c r="D8" s="12" t="s">
        <v>11</v>
      </c>
      <c r="E8" s="12"/>
      <c r="F8" s="12"/>
      <c r="G8" s="12"/>
    </row>
    <row r="9" spans="1:7" ht="38.25" x14ac:dyDescent="0.25">
      <c r="A9" s="5"/>
      <c r="B9" s="10">
        <v>3</v>
      </c>
      <c r="C9" s="11" t="s">
        <v>17</v>
      </c>
      <c r="D9" s="10" t="s">
        <v>11</v>
      </c>
      <c r="E9" s="10"/>
      <c r="F9" s="10"/>
      <c r="G9" s="10"/>
    </row>
    <row r="10" spans="1:7" ht="25.5" x14ac:dyDescent="0.25">
      <c r="A10" s="5"/>
      <c r="B10" s="12">
        <v>4</v>
      </c>
      <c r="C10" s="13" t="s">
        <v>18</v>
      </c>
      <c r="D10" s="12" t="s">
        <v>11</v>
      </c>
      <c r="E10" s="12"/>
      <c r="F10" s="12"/>
      <c r="G10" s="12"/>
    </row>
    <row r="11" spans="1:7" ht="23.85" customHeight="1" x14ac:dyDescent="0.25">
      <c r="A11" s="4" t="s">
        <v>19</v>
      </c>
      <c r="B11" s="10">
        <v>1</v>
      </c>
      <c r="C11" s="11" t="s">
        <v>20</v>
      </c>
      <c r="D11" s="10" t="s">
        <v>11</v>
      </c>
      <c r="E11" s="10"/>
      <c r="F11" s="10"/>
      <c r="G11" s="10"/>
    </row>
    <row r="12" spans="1:7" ht="38.25" x14ac:dyDescent="0.25">
      <c r="A12" s="4"/>
      <c r="B12" s="12">
        <v>2</v>
      </c>
      <c r="C12" s="13" t="s">
        <v>21</v>
      </c>
      <c r="D12" s="12" t="s">
        <v>11</v>
      </c>
      <c r="E12" s="12"/>
      <c r="F12" s="12"/>
      <c r="G12" s="12"/>
    </row>
    <row r="13" spans="1:7" ht="25.5" x14ac:dyDescent="0.25">
      <c r="A13" s="4"/>
      <c r="B13" s="10">
        <v>3</v>
      </c>
      <c r="C13" s="11" t="s">
        <v>22</v>
      </c>
      <c r="D13" s="10" t="s">
        <v>11</v>
      </c>
      <c r="E13" s="10"/>
      <c r="F13" s="10"/>
      <c r="G13" s="10"/>
    </row>
    <row r="14" spans="1:7" x14ac:dyDescent="0.25">
      <c r="A14" s="3" t="s">
        <v>23</v>
      </c>
      <c r="B14" s="3"/>
      <c r="C14" s="15">
        <v>10</v>
      </c>
    </row>
  </sheetData>
  <mergeCells count="6">
    <mergeCell ref="A14:B14"/>
    <mergeCell ref="A1:G1"/>
    <mergeCell ref="A2:G2"/>
    <mergeCell ref="A4:A6"/>
    <mergeCell ref="A7:A10"/>
    <mergeCell ref="A11:A13"/>
  </mergeCells>
  <dataValidations count="1">
    <dataValidation type="list" allowBlank="1" sqref="D4:D13" xr:uid="{00000000-0002-0000-0000-000000000000}">
      <formula1>"Pendiente,En progreso,Completada,No aplica"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zoomScaleNormal="100" workbookViewId="0">
      <selection sqref="A1:F1"/>
    </sheetView>
  </sheetViews>
  <sheetFormatPr baseColWidth="10" defaultColWidth="8.7109375" defaultRowHeight="15" x14ac:dyDescent="0.25"/>
  <cols>
    <col min="1" max="1" width="16" customWidth="1"/>
    <col min="2" max="6" width="12" customWidth="1"/>
  </cols>
  <sheetData>
    <row r="1" spans="1:6" ht="17.25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1" t="s">
        <v>24</v>
      </c>
      <c r="B2" s="1"/>
      <c r="C2" s="1"/>
      <c r="D2" s="1"/>
      <c r="E2" s="1"/>
      <c r="F2" s="1"/>
    </row>
    <row r="3" spans="1:6" x14ac:dyDescent="0.25">
      <c r="A3" s="9" t="s">
        <v>2</v>
      </c>
      <c r="B3" s="9" t="s">
        <v>25</v>
      </c>
      <c r="C3" s="9" t="s">
        <v>11</v>
      </c>
      <c r="D3" s="9" t="s">
        <v>26</v>
      </c>
      <c r="E3" s="9" t="s">
        <v>27</v>
      </c>
      <c r="F3" s="9" t="s">
        <v>28</v>
      </c>
    </row>
    <row r="4" spans="1:6" x14ac:dyDescent="0.25">
      <c r="A4" s="16" t="s">
        <v>9</v>
      </c>
      <c r="B4" s="17">
        <f>COUNTA(Checklist!C4:C6)</f>
        <v>3</v>
      </c>
      <c r="C4" s="17">
        <f>COUNTIF(Checklist!D4:D6,"Pendiente")</f>
        <v>3</v>
      </c>
      <c r="D4" s="17">
        <f>COUNTIF(Checklist!D4:D6,"En progreso")</f>
        <v>0</v>
      </c>
      <c r="E4" s="17">
        <f>COUNTIF(Checklist!D4:D6,"Completada")</f>
        <v>0</v>
      </c>
      <c r="F4" s="17">
        <f>COUNTIF(Checklist!D4:D6,"No aplica")</f>
        <v>0</v>
      </c>
    </row>
    <row r="5" spans="1:6" x14ac:dyDescent="0.25">
      <c r="A5" s="16" t="s">
        <v>14</v>
      </c>
      <c r="B5" s="17">
        <f>COUNTA(Checklist!C7:C10)</f>
        <v>4</v>
      </c>
      <c r="C5" s="17">
        <f>COUNTIF(Checklist!D7:D10,"Pendiente")</f>
        <v>4</v>
      </c>
      <c r="D5" s="17">
        <f>COUNTIF(Checklist!D7:D10,"En progreso")</f>
        <v>0</v>
      </c>
      <c r="E5" s="17">
        <f>COUNTIF(Checklist!D7:D10,"Completada")</f>
        <v>0</v>
      </c>
      <c r="F5" s="17">
        <f>COUNTIF(Checklist!D7:D10,"No aplica")</f>
        <v>0</v>
      </c>
    </row>
    <row r="6" spans="1:6" x14ac:dyDescent="0.25">
      <c r="A6" s="16" t="s">
        <v>19</v>
      </c>
      <c r="B6" s="17">
        <f>COUNTA(Checklist!C11:C13)</f>
        <v>3</v>
      </c>
      <c r="C6" s="17">
        <f>COUNTIF(Checklist!D11:D13,"Pendiente")</f>
        <v>3</v>
      </c>
      <c r="D6" s="17">
        <f>COUNTIF(Checklist!D11:D13,"En progreso")</f>
        <v>0</v>
      </c>
      <c r="E6" s="17">
        <f>COUNTIF(Checklist!D11:D13,"Completada")</f>
        <v>0</v>
      </c>
      <c r="F6" s="17">
        <f>COUNTIF(Checklist!D11:D13,"No aplica")</f>
        <v>0</v>
      </c>
    </row>
    <row r="7" spans="1:6" x14ac:dyDescent="0.25">
      <c r="A7" s="14" t="s">
        <v>29</v>
      </c>
      <c r="B7" s="14">
        <f>SUM(B4:B6)</f>
        <v>10</v>
      </c>
      <c r="C7" s="14">
        <f>SUM(C4:C6)</f>
        <v>10</v>
      </c>
      <c r="D7" s="14">
        <f>SUM(D4:D6)</f>
        <v>0</v>
      </c>
      <c r="E7" s="14">
        <f>SUM(E4:E6)</f>
        <v>0</v>
      </c>
      <c r="F7" s="14">
        <f>SUM(F4:F6)</f>
        <v>0</v>
      </c>
    </row>
    <row r="9" spans="1:6" x14ac:dyDescent="0.25">
      <c r="A9" s="18" t="s">
        <v>30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Checklist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mvergara@openitnet.com</dc:creator>
  <dc:description/>
  <cp:lastModifiedBy>Mauricio Vergara</cp:lastModifiedBy>
  <cp:revision>0</cp:revision>
  <dcterms:created xsi:type="dcterms:W3CDTF">2026-07-10T22:47:00Z</dcterms:created>
  <dcterms:modified xsi:type="dcterms:W3CDTF">2026-07-10T22:49:10Z</dcterms:modified>
  <dc:language>en-US</dc:language>
</cp:coreProperties>
</file>