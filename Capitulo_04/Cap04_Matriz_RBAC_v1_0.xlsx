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openitsoft-my.sharepoint.com/personal/mvergara_openitnet_com/Documents/Libro MPC/Capitulos/04- Identidades/Templates/"/>
    </mc:Choice>
  </mc:AlternateContent>
  <xr:revisionPtr revIDLastSave="1" documentId="11_E4AB9D07EF959A9311CADCDC77DF1FB896D8873F" xr6:coauthVersionLast="47" xr6:coauthVersionMax="47" xr10:uidLastSave="{CA655C8B-49CE-417B-9B4A-B0491901A652}"/>
  <bookViews>
    <workbookView xWindow="3900" yWindow="1395" windowWidth="21600" windowHeight="11505" tabRatio="500" xr2:uid="{00000000-000D-0000-FFFF-FFFF00000000}"/>
  </bookViews>
  <sheets>
    <sheet name="Matriz RBAC" sheetId="1" r:id="rId1"/>
    <sheet name="Dashboard" sheetId="2" r:id="rId2"/>
    <sheet name="Instructivo"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0" i="2" l="1"/>
  <c r="G40" i="2" s="1"/>
  <c r="F39" i="2"/>
  <c r="G39" i="2" s="1"/>
  <c r="F38" i="2"/>
  <c r="G38" i="2" s="1"/>
  <c r="F37" i="2"/>
  <c r="G37" i="2" s="1"/>
  <c r="F36" i="2"/>
  <c r="G36" i="2" s="1"/>
  <c r="F35" i="2"/>
  <c r="G35" i="2" s="1"/>
  <c r="F34" i="2"/>
  <c r="G34" i="2" s="1"/>
  <c r="F33" i="2"/>
  <c r="G33" i="2" s="1"/>
  <c r="F32" i="2"/>
  <c r="G32" i="2" s="1"/>
  <c r="F31" i="2"/>
  <c r="G31" i="2" s="1"/>
  <c r="F30" i="2"/>
  <c r="G30" i="2" s="1"/>
  <c r="F29" i="2"/>
  <c r="G29" i="2" s="1"/>
  <c r="F28" i="2"/>
  <c r="G28" i="2" s="1"/>
  <c r="F27" i="2"/>
  <c r="G27" i="2" s="1"/>
  <c r="F26" i="2"/>
  <c r="G26" i="2" s="1"/>
  <c r="F25" i="2"/>
  <c r="G25" i="2" s="1"/>
  <c r="F24" i="2"/>
  <c r="G24" i="2" s="1"/>
  <c r="F23" i="2"/>
  <c r="G23" i="2" s="1"/>
  <c r="F18" i="2"/>
  <c r="G18" i="2" s="1"/>
  <c r="F17" i="2"/>
  <c r="G17" i="2" s="1"/>
  <c r="F16" i="2"/>
  <c r="G16" i="2" s="1"/>
  <c r="F15" i="2"/>
  <c r="G15" i="2" s="1"/>
  <c r="F14" i="2"/>
  <c r="G14" i="2" s="1"/>
  <c r="B14" i="2"/>
  <c r="G13" i="2"/>
  <c r="F13" i="2"/>
  <c r="F12" i="2"/>
  <c r="G12" i="2" s="1"/>
  <c r="B12" i="2"/>
  <c r="F11" i="2"/>
  <c r="G11" i="2" s="1"/>
  <c r="F10" i="2"/>
  <c r="G10" i="2" s="1"/>
  <c r="B10" i="2"/>
  <c r="F9" i="2"/>
  <c r="G9" i="2" s="1"/>
  <c r="G8" i="2"/>
  <c r="F8" i="2"/>
  <c r="B8" i="2"/>
  <c r="F7" i="2"/>
  <c r="G7" i="2" s="1"/>
  <c r="F6" i="2"/>
  <c r="G6" i="2" s="1"/>
  <c r="B6" i="2"/>
  <c r="B4" i="2"/>
</calcChain>
</file>

<file path=xl/sharedStrings.xml><?xml version="1.0" encoding="utf-8"?>
<sst xmlns="http://schemas.openxmlformats.org/spreadsheetml/2006/main" count="455" uniqueCount="145">
  <si>
    <t>MATRIZ DE ROLES Y PERMISOS — CONTROL DE ACCESO BASADO EN ROLES (RBAC)</t>
  </si>
  <si>
    <t>Capítulo 4 — Gestión de Identidades  |  [NOMBRE DE LA ORGANIZACIÓN]</t>
  </si>
  <si>
    <t>Versión:</t>
  </si>
  <si>
    <t>1.0</t>
  </si>
  <si>
    <t>Fecha revisión:</t>
  </si>
  <si>
    <t>[DD/MM/AAAA]</t>
  </si>
  <si>
    <t>Aprobado por:</t>
  </si>
  <si>
    <t>[Nombre y cargo]</t>
  </si>
  <si>
    <t>Identidades</t>
  </si>
  <si>
    <t>Datos</t>
  </si>
  <si>
    <t>Aplicaciones</t>
  </si>
  <si>
    <t>Comunicaciones</t>
  </si>
  <si>
    <t>Desarrollo</t>
  </si>
  <si>
    <t>Infraestructura</t>
  </si>
  <si>
    <t>Seguridad</t>
  </si>
  <si>
    <t>Nube</t>
  </si>
  <si>
    <t>Rol</t>
  </si>
  <si>
    <t>Área</t>
  </si>
  <si>
    <t>Descripción</t>
  </si>
  <si>
    <t>Metadirectorio (AD/LDAP)</t>
  </si>
  <si>
    <t>Gestor de contraseñas</t>
  </si>
  <si>
    <t>Servidor de archivos</t>
  </si>
  <si>
    <t>ERP — módulo financiero</t>
  </si>
  <si>
    <t>ERP — módulo RRHH / nómina</t>
  </si>
  <si>
    <t>ERP — módulo inventarios</t>
  </si>
  <si>
    <t>CRM</t>
  </si>
  <si>
    <t>Correo corporativo</t>
  </si>
  <si>
    <t>Herramientas de colaboración</t>
  </si>
  <si>
    <t>Repositorio de código (Git)</t>
  </si>
  <si>
    <t>Entorno de desarrollo / staging</t>
  </si>
  <si>
    <t>Servidores en producción</t>
  </si>
  <si>
    <t>Infraestructura de red</t>
  </si>
  <si>
    <t>VPN corporativa</t>
  </si>
  <si>
    <t>Consola de monitoreo (SIEM)</t>
  </si>
  <si>
    <t>Herramienta de backup</t>
  </si>
  <si>
    <t>Nube (consola de administración)</t>
  </si>
  <si>
    <t>Servicios SaaS del negocio</t>
  </si>
  <si>
    <t>Administrador de sistemas</t>
  </si>
  <si>
    <t>TI</t>
  </si>
  <si>
    <t>Gestión completa de infraestructura y usuarios</t>
  </si>
  <si>
    <t>ADM</t>
  </si>
  <si>
    <t>L</t>
  </si>
  <si>
    <t>L/E</t>
  </si>
  <si>
    <t>Administrador de red</t>
  </si>
  <si>
    <t>Gestión de red, firewall y conectividad</t>
  </si>
  <si>
    <t>—</t>
  </si>
  <si>
    <t>Soporte TI / Helpdesk</t>
  </si>
  <si>
    <t>Atención a usuarios, resolución de incidentes</t>
  </si>
  <si>
    <t>Gerencia general</t>
  </si>
  <si>
    <t>Dirección</t>
  </si>
  <si>
    <t>Acceso ejecutivo de consulta a todos los módulos</t>
  </si>
  <si>
    <t>Gerencia de área</t>
  </si>
  <si>
    <t>Supervisión y aprobación en su área</t>
  </si>
  <si>
    <t>Desarrollador / DevOps</t>
  </si>
  <si>
    <t>Desarrollo, despliegue y mantenimiento de apps</t>
  </si>
  <si>
    <t>Usuario de oficina</t>
  </si>
  <si>
    <t>Operaciones</t>
  </si>
  <si>
    <t>Tareas administrativas y operativas estándar</t>
  </si>
  <si>
    <t>Contador / Finanzas</t>
  </si>
  <si>
    <t>Administración</t>
  </si>
  <si>
    <t>Gestión contable y financiera</t>
  </si>
  <si>
    <t>Ventas / CRM</t>
  </si>
  <si>
    <t>Comercial</t>
  </si>
  <si>
    <t>Gestión de clientes y oportunidades</t>
  </si>
  <si>
    <t>Logística / Inventarios</t>
  </si>
  <si>
    <t>Control de stock y movimientos</t>
  </si>
  <si>
    <t>Recursos Humanos</t>
  </si>
  <si>
    <t>RRHH</t>
  </si>
  <si>
    <t>Gestión de personal y nómina</t>
  </si>
  <si>
    <t>Contratista externo</t>
  </si>
  <si>
    <t>Externo</t>
  </si>
  <si>
    <t>Acceso temporal y limitado al proyecto</t>
  </si>
  <si>
    <t>Auditor interno</t>
  </si>
  <si>
    <t>Control</t>
  </si>
  <si>
    <t>Acceso de solo lectura para revisión y control</t>
  </si>
  <si>
    <t>LEYENDA</t>
  </si>
  <si>
    <t>Administrador — control total sobre el recurso</t>
  </si>
  <si>
    <t>Lectura y escritura — puede crear, editar y eliminar</t>
  </si>
  <si>
    <t>Solo lectura — puede consultar pero no modificar</t>
  </si>
  <si>
    <t>Sin acceso — el rol no tiene permisos sobre este recurso</t>
  </si>
  <si>
    <t>N/A</t>
  </si>
  <si>
    <t>No aplica — el recurso no es relevante para este rol</t>
  </si>
  <si>
    <t>📋  Esta matriz debe revisarse en cada evento Mover (cambio de rol) y al menos una vez cada trimestre. Los permisos ADM deben minimizarse al máximo y auditarse mensualmente. Ningún usuario debe acumular permisos de más de un rol simultáneamente sin aprobación documentada.</t>
  </si>
  <si>
    <t>DASHBOARD — ANÁLISIS DE PERMISOS RBAC</t>
  </si>
  <si>
    <t>Resumen automático de la matriz  |  [NOMBRE DE LA ORGANIZACIÓN]</t>
  </si>
  <si>
    <t>Total de roles definidos</t>
  </si>
  <si>
    <t>Permisos ADM por rol — (minimizar al máximo)</t>
  </si>
  <si>
    <t># ADM</t>
  </si>
  <si>
    <t>% de sus permisos</t>
  </si>
  <si>
    <t>Total de sistemas en la matriz</t>
  </si>
  <si>
    <t>Permisos ADM en toda la matriz</t>
  </si>
  <si>
    <t>Permisos L/E en toda la matriz</t>
  </si>
  <si>
    <t>Permisos de solo lectura (L)</t>
  </si>
  <si>
    <t>Celdas sin acceso (—)</t>
  </si>
  <si>
    <t>Permisos ADM por sistema</t>
  </si>
  <si>
    <t>Sistema</t>
  </si>
  <si>
    <t>Categoría</t>
  </si>
  <si>
    <t>% de roles</t>
  </si>
  <si>
    <t>INSTRUCTIVO DE USO — MATRIZ RBAC</t>
  </si>
  <si>
    <t>Capítulo 4 — Gestión de Identidades y Accesos  |  Ciberprotección para PyMES</t>
  </si>
  <si>
    <t>SECCIÓN</t>
  </si>
  <si>
    <t>ELEMENTO</t>
  </si>
  <si>
    <t>INSTRUCCIONES</t>
  </si>
  <si>
    <t>Roles (filas)</t>
  </si>
  <si>
    <t>Cómo agregar un rol</t>
  </si>
  <si>
    <t>Inserte una fila nueva entre las filas 6 y el final de la tabla. Complete el nombre del rol en columna A, el área en B y la descripción en C. Asigne el nivel de acceso a cada sistema usando la lista desplegable (ADM, L/E, L, —, N/A).</t>
  </si>
  <si>
    <t>Cómo eliminar un rol</t>
  </si>
  <si>
    <t>Elimine la fila completa del rol. Verifique que el Dashboard no quedó con referencias rotas.</t>
  </si>
  <si>
    <t>Sistemas (columnas)</t>
  </si>
  <si>
    <t>Cómo agregar un sistema</t>
  </si>
  <si>
    <t>Inserte una columna nueva antes de la columna de leyenda. Escriba el nombre del sistema en la fila 5. Asigne el nivel de acceso para cada rol usando la lista desplegable.</t>
  </si>
  <si>
    <t>Valores de acceso</t>
  </si>
  <si>
    <t>Niveles disponibles</t>
  </si>
  <si>
    <t>ADM = control total · L/E = lectura y escritura · L = solo lectura · — = sin acceso · N/A = no aplica. Seleccione siempre desde la lista desplegable para que el formato condicional funcione correctamente.</t>
  </si>
  <si>
    <t>Principio de mínimo privilegio</t>
  </si>
  <si>
    <t>Regla fundamental</t>
  </si>
  <si>
    <t>Cada rol debe tener el nivel de acceso más bajo que le permita cumplir sus funciones. El nivel ADM debe asignarse solo cuando sea estrictamente indispensable. Si duda entre L/E y L, prefiera L.</t>
  </si>
  <si>
    <t>Cuentas administrativas</t>
  </si>
  <si>
    <t>Regla de uso cotidiano</t>
  </si>
  <si>
    <t>Los roles con permisos ADM en el metadirectorio o la infraestructura no deben usarse para tareas diarias. El administrador debe tener una cuenta normal separada para el trabajo cotidiano.</t>
  </si>
  <si>
    <t>Privilege creep</t>
  </si>
  <si>
    <t>Qué evitar</t>
  </si>
  <si>
    <t>Ningún colaborador debe acumular los permisos de más de un rol simultáneamente. Cada vez que ocurra un evento Mover (cambio de cargo), los permisos del rol anterior deben ser revocados antes de asignar los del nuevo rol.</t>
  </si>
  <si>
    <t>Revisión periódica</t>
  </si>
  <si>
    <t>Frecuencia recomendada</t>
  </si>
  <si>
    <t>Esta matriz debe revisarse: en cada evento Mover (cambio de rol de cualquier colaborador), de forma completa cada trimestre, y siempre que se incorpore un nuevo sistema al inventario de la organización.</t>
  </si>
  <si>
    <t>Dashboard</t>
  </si>
  <si>
    <t>Cómo interpretar</t>
  </si>
  <si>
    <t>El Dashboard calcula automáticamente el número de permisos ADM por rol y por sistema. Un número elevado de permisos ADM en un rol es una señal de alerta que debe revisarse. El objetivo es minimizar la columna # ADM en ambas tablas.</t>
  </si>
  <si>
    <t>Aprobación</t>
  </si>
  <si>
    <t>Quién debe aprobar los cambios</t>
  </si>
  <si>
    <t>Cualquier cambio en los niveles de acceso de la matriz debe ser aprobado por el responsable de TI y, para roles administrativos o de alta dirección, por la gerencia general. Los cambios deben quedar documentados con fecha y nombre del aprobador.</t>
  </si>
  <si>
    <t>NIVEL</t>
  </si>
  <si>
    <t>CUÁNDO USARLO</t>
  </si>
  <si>
    <t>RIESGO SI SE USA EN EXCESO</t>
  </si>
  <si>
    <t>Solo para roles de administración de sistemas, red o directorio</t>
  </si>
  <si>
    <t>Máximo: una cuenta comprometida entrega control total del recurso</t>
  </si>
  <si>
    <t>Para roles operativos que necesitan crear o modificar registros</t>
  </si>
  <si>
    <t>Alto: permite modificar o eliminar datos del recurso</t>
  </si>
  <si>
    <t>Para roles de supervisión, auditoría o consulta</t>
  </si>
  <si>
    <t>Bajo: solo permite leer información</t>
  </si>
  <si>
    <t>Para cualquier recurso que el rol no necesita usar</t>
  </si>
  <si>
    <t>Ninguno: es el nivel correcto por defecto</t>
  </si>
  <si>
    <t>Para recursos que conceptualmente no aplican al rol</t>
  </si>
  <si>
    <t>Ninguno: uso organizativo, equivalente 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</si>
</sst>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Calibri"/>
      <family val="2"/>
      <charset val="1"/>
    </font>
    <font>
      <b/>
      <sz val="13"/>
      <color rgb="FFFFFFFF"/>
      <name val="Calibri"/>
      <charset val="1"/>
    </font>
    <font>
      <i/>
      <sz val="9"/>
      <color rgb="FF5F5E5A"/>
      <name val="Calibri"/>
      <charset val="1"/>
    </font>
    <font>
      <b/>
      <sz val="10"/>
      <color rgb="FF185FA5"/>
      <name val="Calibri"/>
      <charset val="1"/>
    </font>
    <font>
      <sz val="10"/>
      <color rgb="FF1A1A1A"/>
      <name val="Calibri"/>
      <charset val="1"/>
    </font>
    <font>
      <b/>
      <sz val="9"/>
      <color rgb="FFFFFFFF"/>
      <name val="Calibri"/>
      <charset val="1"/>
    </font>
    <font>
      <b/>
      <sz val="10"/>
      <color rgb="FFFFFFFF"/>
      <name val="Calibri"/>
      <charset val="1"/>
    </font>
    <font>
      <b/>
      <sz val="10"/>
      <color rgb="FF1A1A1A"/>
      <name val="Calibri"/>
      <charset val="1"/>
    </font>
    <font>
      <sz val="9"/>
      <color rgb="FF5F5E5A"/>
      <name val="Calibri"/>
      <charset val="1"/>
    </font>
    <font>
      <b/>
      <sz val="10"/>
      <color rgb="FFA32D2D"/>
      <name val="Calibri"/>
      <charset val="1"/>
    </font>
    <font>
      <sz val="10"/>
      <color rgb="FF3B6D11"/>
      <name val="Calibri"/>
      <charset val="1"/>
    </font>
    <font>
      <sz val="10"/>
      <color rgb="FFBA7517"/>
      <name val="Calibri"/>
      <charset val="1"/>
    </font>
    <font>
      <sz val="10"/>
      <color rgb="FF5F5E5A"/>
      <name val="Calibri"/>
      <charset val="1"/>
    </font>
    <font>
      <sz val="10"/>
      <color rgb="FFD3D1C7"/>
      <name val="Calibri"/>
      <charset val="1"/>
    </font>
    <font>
      <sz val="9"/>
      <color rgb="FF185FA5"/>
      <name val="Calibri"/>
      <charset val="1"/>
    </font>
    <font>
      <b/>
      <sz val="14"/>
      <color rgb="FF185FA5"/>
      <name val="Calibri"/>
      <charset val="1"/>
    </font>
    <font>
      <sz val="9"/>
      <color rgb="FF1A1A1A"/>
      <name val="Calibri"/>
      <charset val="1"/>
    </font>
    <font>
      <sz val="10"/>
      <color rgb="FFA32D2D"/>
      <name val="Calibri"/>
      <charset val="1"/>
    </font>
    <font>
      <b/>
      <sz val="14"/>
      <color rgb="FFA32D2D"/>
      <name val="Calibri"/>
      <charset val="1"/>
    </font>
    <font>
      <b/>
      <sz val="10"/>
      <color rgb="FFBA7517"/>
      <name val="Calibri"/>
      <charset val="1"/>
    </font>
    <font>
      <b/>
      <sz val="14"/>
      <color rgb="FFBA7517"/>
      <name val="Calibri"/>
      <charset val="1"/>
    </font>
    <font>
      <b/>
      <sz val="10"/>
      <color rgb="FF3B6D11"/>
      <name val="Calibri"/>
      <charset val="1"/>
    </font>
    <font>
      <b/>
      <sz val="14"/>
      <color rgb="FF3B6D11"/>
      <name val="Calibri"/>
      <charset val="1"/>
    </font>
    <font>
      <b/>
      <sz val="10"/>
      <color rgb="FF5F5E5A"/>
      <name val="Calibri"/>
      <charset val="1"/>
    </font>
    <font>
      <b/>
      <sz val="14"/>
      <color rgb="FF5F5E5A"/>
      <name val="Calibri"/>
      <charset val="1"/>
    </font>
  </fonts>
  <fills count="23">
    <fill>
      <patternFill patternType="none"/>
    </fill>
    <fill>
      <patternFill patternType="gray125"/>
    </fill>
    <fill>
      <patternFill patternType="solid">
        <fgColor rgb="FF185FA5"/>
        <bgColor rgb="FF1565A8"/>
      </patternFill>
    </fill>
    <fill>
      <patternFill patternType="solid">
        <fgColor rgb="FFB5D4F4"/>
        <bgColor rgb="FFD3D1C7"/>
      </patternFill>
    </fill>
    <fill>
      <patternFill patternType="solid">
        <fgColor rgb="FFEEF5FB"/>
        <bgColor rgb="FFEBF3E8"/>
      </patternFill>
    </fill>
    <fill>
      <patternFill patternType="solid">
        <fgColor rgb="FFFFFFFF"/>
        <bgColor rgb="FFEEF5FB"/>
      </patternFill>
    </fill>
    <fill>
      <patternFill patternType="solid">
        <fgColor rgb="FF5B2C8D"/>
        <bgColor rgb="FF4E342E"/>
      </patternFill>
    </fill>
    <fill>
      <patternFill patternType="solid">
        <fgColor rgb="FF1565A8"/>
        <bgColor rgb="FF185FA5"/>
      </patternFill>
    </fill>
    <fill>
      <patternFill patternType="solid">
        <fgColor rgb="FF0E7C7B"/>
        <bgColor rgb="FF1565A8"/>
      </patternFill>
    </fill>
    <fill>
      <patternFill patternType="solid">
        <fgColor rgb="FF2E7D32"/>
        <bgColor rgb="FF3B6D11"/>
      </patternFill>
    </fill>
    <fill>
      <patternFill patternType="solid">
        <fgColor rgb="FF4E342E"/>
        <bgColor rgb="FF5B2C8D"/>
      </patternFill>
    </fill>
    <fill>
      <patternFill patternType="solid">
        <fgColor rgb="FFA32D2D"/>
        <bgColor rgb="FF993366"/>
      </patternFill>
    </fill>
    <fill>
      <patternFill patternType="solid">
        <fgColor rgb="FF01579B"/>
        <bgColor rgb="FF185FA5"/>
      </patternFill>
    </fill>
    <fill>
      <patternFill patternType="solid">
        <fgColor rgb="FF5F5E5A"/>
        <bgColor rgb="FF3B6D11"/>
      </patternFill>
    </fill>
    <fill>
      <patternFill patternType="solid">
        <fgColor rgb="FFEDE7F6"/>
        <bgColor rgb="FFEFEBE9"/>
      </patternFill>
    </fill>
    <fill>
      <patternFill patternType="solid">
        <fgColor rgb="FFDDEEFF"/>
        <bgColor rgb="FFE1F5FE"/>
      </patternFill>
    </fill>
    <fill>
      <patternFill patternType="solid">
        <fgColor rgb="FFE0F7F6"/>
        <bgColor rgb="FFE1F5FE"/>
      </patternFill>
    </fill>
    <fill>
      <patternFill patternType="solid">
        <fgColor rgb="FFEBF3E8"/>
        <bgColor rgb="FFEFEBE9"/>
      </patternFill>
    </fill>
    <fill>
      <patternFill patternType="solid">
        <fgColor rgb="FFEFEBE9"/>
        <bgColor rgb="FFEDE7F6"/>
      </patternFill>
    </fill>
    <fill>
      <patternFill patternType="solid">
        <fgColor rgb="FFFAECEC"/>
        <bgColor rgb="FFEFEBE9"/>
      </patternFill>
    </fill>
    <fill>
      <patternFill patternType="solid">
        <fgColor rgb="FFE1F5FE"/>
        <bgColor rgb="FFE0F7F6"/>
      </patternFill>
    </fill>
    <fill>
      <patternFill patternType="solid">
        <fgColor rgb="FFFDF3E3"/>
        <bgColor rgb="FFFAECEC"/>
      </patternFill>
    </fill>
    <fill>
      <patternFill patternType="solid">
        <fgColor rgb="FFFDDEDE"/>
        <bgColor rgb="FFFAECEC"/>
      </patternFill>
    </fill>
  </fills>
  <borders count="3">
    <border>
      <left/>
      <right/>
      <top/>
      <bottom/>
      <diagonal/>
    </border>
    <border>
      <left style="thin">
        <color rgb="FFD3D1C7"/>
      </left>
      <right style="thin">
        <color rgb="FFD3D1C7"/>
      </right>
      <top style="thin">
        <color rgb="FFD3D1C7"/>
      </top>
      <bottom style="thin">
        <color rgb="FFD3D1C7"/>
      </bottom>
      <diagonal/>
    </border>
    <border>
      <left style="thin">
        <color rgb="FFD3D1C7"/>
      </left>
      <right/>
      <top style="thin">
        <color rgb="FFD3D1C7"/>
      </top>
      <bottom style="thin">
        <color rgb="FFD3D1C7"/>
      </bottom>
      <diagonal/>
    </border>
  </borders>
  <cellStyleXfs count="1">
    <xf numFmtId="0" fontId="0" fillId="0" borderId="0"/>
  </cellStyleXfs>
  <cellXfs count="90">
    <xf numFmtId="0" fontId="0" fillId="0" borderId="0" xfId="0"/>
    <xf numFmtId="0" fontId="6" fillId="11" borderId="2" xfId="0" applyFont="1" applyFill="1" applyBorder="1" applyAlignment="1">
      <alignment horizontal="center" vertical="center"/>
    </xf>
    <xf numFmtId="0" fontId="14" fillId="3" borderId="0" xfId="0" applyFont="1" applyFill="1" applyAlignment="1">
      <alignment horizontal="left" vertical="center" wrapText="1"/>
    </xf>
    <xf numFmtId="0" fontId="4" fillId="5" borderId="2" xfId="0" applyFont="1" applyFill="1" applyBorder="1" applyAlignment="1">
      <alignment horizontal="left" vertical="center"/>
    </xf>
    <xf numFmtId="0" fontId="4" fillId="4" borderId="2" xfId="0" applyFont="1" applyFill="1" applyBorder="1" applyAlignment="1">
      <alignment horizontal="left" vertical="center"/>
    </xf>
    <xf numFmtId="0" fontId="6" fillId="13" borderId="2" xfId="0" applyFont="1" applyFill="1" applyBorder="1" applyAlignment="1">
      <alignment horizontal="center" vertical="center"/>
    </xf>
    <xf numFmtId="0" fontId="5" fillId="12" borderId="1" xfId="0" applyFont="1" applyFill="1" applyBorder="1" applyAlignment="1">
      <alignment horizontal="center" vertical="center"/>
    </xf>
    <xf numFmtId="0" fontId="5" fillId="11"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9"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6" borderId="1" xfId="0" applyFont="1" applyFill="1" applyBorder="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4" borderId="0" xfId="0" applyFont="1" applyFill="1" applyAlignment="1">
      <alignment horizontal="right" vertical="center"/>
    </xf>
    <xf numFmtId="0" fontId="4" fillId="4" borderId="0" xfId="0" applyFont="1" applyFill="1" applyAlignment="1">
      <alignment horizontal="left" vertical="center"/>
    </xf>
    <xf numFmtId="0" fontId="0" fillId="4" borderId="0" xfId="0" applyFill="1"/>
    <xf numFmtId="0" fontId="4" fillId="5" borderId="0" xfId="0" applyFont="1" applyFill="1" applyAlignment="1">
      <alignment horizontal="left" vertical="center"/>
    </xf>
    <xf numFmtId="0" fontId="5" fillId="2" borderId="1" xfId="0" applyFont="1" applyFill="1" applyBorder="1" applyAlignment="1">
      <alignment horizontal="center" vertical="center"/>
    </xf>
    <xf numFmtId="0" fontId="6" fillId="13" borderId="1" xfId="0" applyFont="1" applyFill="1" applyBorder="1" applyAlignment="1">
      <alignment horizontal="center" vertical="center"/>
    </xf>
    <xf numFmtId="0" fontId="6" fillId="13"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7" fillId="5" borderId="1" xfId="0" applyFont="1" applyFill="1" applyBorder="1" applyAlignment="1">
      <alignment horizontal="left" vertical="center"/>
    </xf>
    <xf numFmtId="0" fontId="2" fillId="5" borderId="1" xfId="0" applyFont="1" applyFill="1" applyBorder="1" applyAlignment="1">
      <alignment horizontal="center" vertical="center"/>
    </xf>
    <xf numFmtId="0" fontId="8" fillId="5" borderId="1" xfId="0" applyFont="1" applyFill="1" applyBorder="1" applyAlignment="1">
      <alignment horizontal="left" vertical="center" wrapText="1"/>
    </xf>
    <xf numFmtId="0" fontId="9" fillId="14"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15" borderId="1" xfId="0" applyFont="1" applyFill="1" applyBorder="1" applyAlignment="1">
      <alignment horizontal="center" vertical="center"/>
    </xf>
    <xf numFmtId="0" fontId="9" fillId="16" borderId="1" xfId="0" applyFont="1" applyFill="1" applyBorder="1" applyAlignment="1">
      <alignment horizontal="center" vertical="center"/>
    </xf>
    <xf numFmtId="0" fontId="11" fillId="16" borderId="1" xfId="0" applyFont="1" applyFill="1" applyBorder="1" applyAlignment="1">
      <alignment horizontal="center" vertical="center"/>
    </xf>
    <xf numFmtId="0" fontId="10" fillId="17" borderId="1" xfId="0" applyFont="1" applyFill="1" applyBorder="1" applyAlignment="1">
      <alignment horizontal="center" vertical="center"/>
    </xf>
    <xf numFmtId="0" fontId="9" fillId="18" borderId="1" xfId="0" applyFont="1" applyFill="1" applyBorder="1" applyAlignment="1">
      <alignment horizontal="center" vertical="center"/>
    </xf>
    <xf numFmtId="0" fontId="9" fillId="19" borderId="1" xfId="0" applyFont="1" applyFill="1" applyBorder="1" applyAlignment="1">
      <alignment horizontal="center" vertical="center"/>
    </xf>
    <xf numFmtId="0" fontId="9" fillId="20" borderId="1" xfId="0" applyFont="1" applyFill="1" applyBorder="1" applyAlignment="1">
      <alignment horizontal="center" vertical="center"/>
    </xf>
    <xf numFmtId="0" fontId="10" fillId="20" borderId="1" xfId="0" applyFont="1" applyFill="1" applyBorder="1" applyAlignment="1">
      <alignment horizontal="center" vertical="center"/>
    </xf>
    <xf numFmtId="0" fontId="7" fillId="4" borderId="1" xfId="0" applyFont="1" applyFill="1" applyBorder="1" applyAlignment="1">
      <alignment horizontal="left" vertical="center"/>
    </xf>
    <xf numFmtId="0" fontId="2" fillId="4" borderId="1" xfId="0" applyFont="1" applyFill="1" applyBorder="1" applyAlignment="1">
      <alignment horizontal="center" vertical="center"/>
    </xf>
    <xf numFmtId="0" fontId="8" fillId="4" borderId="1" xfId="0" applyFont="1" applyFill="1" applyBorder="1" applyAlignment="1">
      <alignment horizontal="left" vertical="center" wrapText="1"/>
    </xf>
    <xf numFmtId="0" fontId="10" fillId="14" borderId="1" xfId="0" applyFont="1" applyFill="1" applyBorder="1" applyAlignment="1">
      <alignment horizontal="center" vertical="center"/>
    </xf>
    <xf numFmtId="0" fontId="11" fillId="14" borderId="1" xfId="0" applyFont="1" applyFill="1" applyBorder="1" applyAlignment="1">
      <alignment horizontal="center" vertical="center"/>
    </xf>
    <xf numFmtId="0" fontId="10" fillId="3" borderId="1" xfId="0" applyFont="1" applyFill="1" applyBorder="1" applyAlignment="1">
      <alignment horizontal="center" vertical="center"/>
    </xf>
    <xf numFmtId="0" fontId="12" fillId="15" borderId="1" xfId="0" applyFont="1" applyFill="1" applyBorder="1" applyAlignment="1">
      <alignment horizontal="center" vertical="center"/>
    </xf>
    <xf numFmtId="0" fontId="10" fillId="16" borderId="1" xfId="0" applyFont="1" applyFill="1" applyBorder="1" applyAlignment="1">
      <alignment horizontal="center" vertical="center"/>
    </xf>
    <xf numFmtId="0" fontId="12" fillId="17" borderId="1" xfId="0" applyFont="1" applyFill="1" applyBorder="1" applyAlignment="1">
      <alignment horizontal="center" vertical="center"/>
    </xf>
    <xf numFmtId="0" fontId="11" fillId="18" borderId="1" xfId="0" applyFont="1" applyFill="1" applyBorder="1" applyAlignment="1">
      <alignment horizontal="center" vertical="center"/>
    </xf>
    <xf numFmtId="0" fontId="10" fillId="19" borderId="1" xfId="0" applyFont="1" applyFill="1" applyBorder="1" applyAlignment="1">
      <alignment horizontal="center" vertical="center"/>
    </xf>
    <xf numFmtId="0" fontId="12" fillId="20" borderId="1" xfId="0" applyFont="1" applyFill="1" applyBorder="1" applyAlignment="1">
      <alignment horizontal="center" vertical="center"/>
    </xf>
    <xf numFmtId="0" fontId="11" fillId="3" borderId="1" xfId="0" applyFont="1" applyFill="1" applyBorder="1" applyAlignment="1">
      <alignment horizontal="center" vertical="center"/>
    </xf>
    <xf numFmtId="0" fontId="10" fillId="18" borderId="1" xfId="0" applyFont="1" applyFill="1" applyBorder="1" applyAlignment="1">
      <alignment horizontal="center" vertical="center"/>
    </xf>
    <xf numFmtId="0" fontId="12" fillId="14" borderId="1" xfId="0" applyFont="1" applyFill="1" applyBorder="1" applyAlignment="1">
      <alignment horizontal="center" vertical="center"/>
    </xf>
    <xf numFmtId="0" fontId="12" fillId="18" borderId="1" xfId="0" applyFont="1" applyFill="1" applyBorder="1" applyAlignment="1">
      <alignment horizontal="center" vertical="center"/>
    </xf>
    <xf numFmtId="0" fontId="12" fillId="19" borderId="1" xfId="0" applyFont="1" applyFill="1" applyBorder="1" applyAlignment="1">
      <alignment horizontal="center" vertical="center"/>
    </xf>
    <xf numFmtId="0" fontId="9" fillId="17" borderId="1" xfId="0" applyFont="1" applyFill="1" applyBorder="1" applyAlignment="1">
      <alignment horizontal="center" vertical="center"/>
    </xf>
    <xf numFmtId="0" fontId="11" fillId="20" borderId="1" xfId="0" applyFont="1" applyFill="1" applyBorder="1" applyAlignment="1">
      <alignment horizontal="center" vertical="center"/>
    </xf>
    <xf numFmtId="0" fontId="11" fillId="15" borderId="1" xfId="0" applyFont="1" applyFill="1" applyBorder="1" applyAlignment="1">
      <alignment horizontal="center" vertical="center"/>
    </xf>
    <xf numFmtId="0" fontId="9" fillId="15" borderId="1" xfId="0" applyFont="1" applyFill="1" applyBorder="1" applyAlignment="1">
      <alignment horizontal="center" vertical="center"/>
    </xf>
    <xf numFmtId="0" fontId="12" fillId="3" borderId="1" xfId="0" applyFont="1" applyFill="1" applyBorder="1" applyAlignment="1">
      <alignment horizontal="center" vertical="center"/>
    </xf>
    <xf numFmtId="0" fontId="12" fillId="16" borderId="1" xfId="0" applyFont="1" applyFill="1" applyBorder="1" applyAlignment="1">
      <alignment horizontal="center" vertical="center"/>
    </xf>
    <xf numFmtId="0" fontId="11" fillId="21"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5" borderId="1" xfId="0" applyFont="1" applyFill="1" applyBorder="1" applyAlignment="1">
      <alignment horizontal="center" vertical="center"/>
    </xf>
    <xf numFmtId="0" fontId="3" fillId="3" borderId="1" xfId="0" applyFont="1" applyFill="1" applyBorder="1" applyAlignment="1">
      <alignment horizontal="left" vertical="center"/>
    </xf>
    <xf numFmtId="0" fontId="15" fillId="3" borderId="1" xfId="0" applyFont="1" applyFill="1" applyBorder="1" applyAlignment="1">
      <alignment horizontal="center" vertical="center"/>
    </xf>
    <xf numFmtId="0" fontId="16" fillId="5" borderId="1" xfId="0" applyFont="1" applyFill="1" applyBorder="1" applyAlignment="1">
      <alignment horizontal="left" vertical="center"/>
    </xf>
    <xf numFmtId="164" fontId="17" fillId="5" borderId="1" xfId="0" applyNumberFormat="1" applyFont="1" applyFill="1" applyBorder="1" applyAlignment="1">
      <alignment horizontal="center" vertical="center"/>
    </xf>
    <xf numFmtId="0" fontId="16" fillId="4" borderId="1" xfId="0" applyFont="1" applyFill="1" applyBorder="1" applyAlignment="1">
      <alignment horizontal="left" vertical="center"/>
    </xf>
    <xf numFmtId="0" fontId="9" fillId="22" borderId="1" xfId="0" applyFont="1" applyFill="1" applyBorder="1" applyAlignment="1">
      <alignment horizontal="center" vertical="center"/>
    </xf>
    <xf numFmtId="164" fontId="17" fillId="4" borderId="1" xfId="0" applyNumberFormat="1" applyFont="1" applyFill="1" applyBorder="1" applyAlignment="1">
      <alignment horizontal="center" vertical="center"/>
    </xf>
    <xf numFmtId="0" fontId="9" fillId="19" borderId="1" xfId="0" applyFont="1" applyFill="1" applyBorder="1" applyAlignment="1">
      <alignment horizontal="left" vertical="center"/>
    </xf>
    <xf numFmtId="0" fontId="18" fillId="19" borderId="1" xfId="0" applyFont="1" applyFill="1" applyBorder="1" applyAlignment="1">
      <alignment horizontal="center" vertical="center"/>
    </xf>
    <xf numFmtId="0" fontId="19" fillId="21" borderId="1" xfId="0" applyFont="1" applyFill="1" applyBorder="1" applyAlignment="1">
      <alignment horizontal="left" vertical="center"/>
    </xf>
    <xf numFmtId="0" fontId="20" fillId="21" borderId="1" xfId="0" applyFont="1" applyFill="1" applyBorder="1" applyAlignment="1">
      <alignment horizontal="center" vertical="center"/>
    </xf>
    <xf numFmtId="0" fontId="21" fillId="17" borderId="1" xfId="0" applyFont="1" applyFill="1" applyBorder="1" applyAlignment="1">
      <alignment horizontal="left" vertical="center"/>
    </xf>
    <xf numFmtId="0" fontId="22" fillId="17" borderId="1" xfId="0" applyFont="1" applyFill="1" applyBorder="1" applyAlignment="1">
      <alignment horizontal="center" vertical="center"/>
    </xf>
    <xf numFmtId="0" fontId="23" fillId="4" borderId="1" xfId="0" applyFont="1" applyFill="1" applyBorder="1" applyAlignment="1">
      <alignment horizontal="left" vertical="center"/>
    </xf>
    <xf numFmtId="0" fontId="24" fillId="4" borderId="1" xfId="0" applyFont="1" applyFill="1" applyBorder="1" applyAlignment="1">
      <alignment horizontal="center" vertical="center"/>
    </xf>
    <xf numFmtId="0" fontId="16" fillId="5"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6" fillId="5" borderId="0" xfId="0" applyFont="1" applyFill="1" applyAlignment="1">
      <alignment horizontal="left" vertical="top" wrapText="1"/>
    </xf>
    <xf numFmtId="0" fontId="5" fillId="2" borderId="1" xfId="0" applyFont="1" applyFill="1" applyBorder="1" applyAlignment="1">
      <alignment horizontal="left" vertical="top" wrapText="1"/>
    </xf>
    <xf numFmtId="0" fontId="16" fillId="5" borderId="1" xfId="0" applyFont="1" applyFill="1" applyBorder="1" applyAlignment="1">
      <alignment horizontal="left" vertical="top" wrapText="1"/>
    </xf>
    <xf numFmtId="0" fontId="16" fillId="4" borderId="1" xfId="0" applyFont="1" applyFill="1" applyBorder="1" applyAlignment="1">
      <alignment horizontal="left" vertical="top" wrapText="1"/>
    </xf>
  </cellXfs>
  <cellStyles count="1">
    <cellStyle name="Normal" xfId="0" builtinId="0"/>
  </cellStyles>
  <dxfs count="4">
    <dxf>
      <font>
        <sz val="10"/>
        <color rgb="FF5F5E5A"/>
        <name val="Calibri"/>
        <charset val="1"/>
      </font>
      <fill>
        <patternFill>
          <bgColor rgb="FFEEF5FB"/>
        </patternFill>
      </fill>
    </dxf>
    <dxf>
      <font>
        <sz val="10"/>
        <color rgb="FF3B6D11"/>
        <name val="Calibri"/>
        <charset val="1"/>
      </font>
      <fill>
        <patternFill>
          <bgColor rgb="FFEBF3E8"/>
        </patternFill>
      </fill>
    </dxf>
    <dxf>
      <font>
        <sz val="10"/>
        <color rgb="FFBA7517"/>
        <name val="Calibri"/>
        <charset val="1"/>
      </font>
      <fill>
        <patternFill>
          <bgColor rgb="FFFDF3E3"/>
        </patternFill>
      </fill>
    </dxf>
    <dxf>
      <font>
        <b/>
        <sz val="10"/>
        <color rgb="FFA32D2D"/>
        <name val="Calibri"/>
        <charset val="1"/>
      </font>
      <fill>
        <patternFill>
          <bgColor rgb="FFFAECEC"/>
        </patternFill>
      </fill>
    </dxf>
  </dxfs>
  <tableStyles count="0" defaultTableStyle="TableStyleMedium2" defaultPivotStyle="PivotStyleLight16"/>
  <colors>
    <indexedColors>
      <rgbColor rgb="FF000000"/>
      <rgbColor rgb="FFFFFFFF"/>
      <rgbColor rgb="FFFF0000"/>
      <rgbColor rgb="FF00FF00"/>
      <rgbColor rgb="FF0000FF"/>
      <rgbColor rgb="FFEEF5FB"/>
      <rgbColor rgb="FFFF00FF"/>
      <rgbColor rgb="FF00FFFF"/>
      <rgbColor rgb="FF800000"/>
      <rgbColor rgb="FF3B6D11"/>
      <rgbColor rgb="FF000080"/>
      <rgbColor rgb="FFBA7517"/>
      <rgbColor rgb="FF800080"/>
      <rgbColor rgb="FF0E7C7B"/>
      <rgbColor rgb="FFD3D1C7"/>
      <rgbColor rgb="FF808080"/>
      <rgbColor rgb="FF9999FF"/>
      <rgbColor rgb="FF993366"/>
      <rgbColor rgb="FFFDF3E3"/>
      <rgbColor rgb="FFE0F7F6"/>
      <rgbColor rgb="FF660066"/>
      <rgbColor rgb="FFFF8080"/>
      <rgbColor rgb="FF1565A8"/>
      <rgbColor rgb="FFB5D4F4"/>
      <rgbColor rgb="FF000080"/>
      <rgbColor rgb="FFFF00FF"/>
      <rgbColor rgb="FFFFFF00"/>
      <rgbColor rgb="FF00FFFF"/>
      <rgbColor rgb="FF800080"/>
      <rgbColor rgb="FF800000"/>
      <rgbColor rgb="FF185FA5"/>
      <rgbColor rgb="FF0000FF"/>
      <rgbColor rgb="FF00CCFF"/>
      <rgbColor rgb="FFE1F5FE"/>
      <rgbColor rgb="FFEBF3E8"/>
      <rgbColor rgb="FFFAECEC"/>
      <rgbColor rgb="FFDDEEFF"/>
      <rgbColor rgb="FFEDE7F6"/>
      <rgbColor rgb="FFEFEBE9"/>
      <rgbColor rgb="FFFDDEDE"/>
      <rgbColor rgb="FF3366FF"/>
      <rgbColor rgb="FF33CCCC"/>
      <rgbColor rgb="FF99CC00"/>
      <rgbColor rgb="FFFFCC00"/>
      <rgbColor rgb="FFFF9900"/>
      <rgbColor rgb="FFFF6600"/>
      <rgbColor rgb="FF5F5E5A"/>
      <rgbColor rgb="FF969696"/>
      <rgbColor rgb="FF01579B"/>
      <rgbColor rgb="FF2E7D32"/>
      <rgbColor rgb="FF003300"/>
      <rgbColor rgb="FF1A1A1A"/>
      <rgbColor rgb="FFA32D2D"/>
      <rgbColor rgb="FF993366"/>
      <rgbColor rgb="FF5B2C8D"/>
      <rgbColor rgb="FF4E34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7"/>
  <sheetViews>
    <sheetView showGridLines="0" tabSelected="1" zoomScaleNormal="100" workbookViewId="0">
      <pane xSplit="3" ySplit="5" topLeftCell="D6" activePane="bottomRight" state="frozen"/>
      <selection pane="topRight" activeCell="D1" sqref="D1"/>
      <selection pane="bottomLeft" activeCell="A6" sqref="A6"/>
      <selection pane="bottomRight" sqref="A1:U1"/>
    </sheetView>
  </sheetViews>
  <sheetFormatPr baseColWidth="10" defaultColWidth="8.7109375" defaultRowHeight="15" x14ac:dyDescent="0.25"/>
  <cols>
    <col min="1" max="1" width="28" customWidth="1"/>
    <col min="2" max="2" width="16" customWidth="1"/>
    <col min="3" max="3" width="32" customWidth="1"/>
    <col min="4" max="21" width="11" customWidth="1"/>
  </cols>
  <sheetData>
    <row r="1" spans="1:21" ht="27.75" customHeight="1" x14ac:dyDescent="0.25">
      <c r="A1" s="14" t="s">
        <v>0</v>
      </c>
      <c r="B1" s="14"/>
      <c r="C1" s="14"/>
      <c r="D1" s="14"/>
      <c r="E1" s="14"/>
      <c r="F1" s="14"/>
      <c r="G1" s="14"/>
      <c r="H1" s="14"/>
      <c r="I1" s="14"/>
      <c r="J1" s="14"/>
      <c r="K1" s="14"/>
      <c r="L1" s="14"/>
      <c r="M1" s="14"/>
      <c r="N1" s="14"/>
      <c r="O1" s="14"/>
      <c r="P1" s="14"/>
      <c r="Q1" s="14"/>
      <c r="R1" s="14"/>
      <c r="S1" s="14"/>
      <c r="T1" s="14"/>
      <c r="U1" s="14"/>
    </row>
    <row r="2" spans="1:21" ht="15.75" customHeight="1" x14ac:dyDescent="0.25">
      <c r="A2" s="13" t="s">
        <v>1</v>
      </c>
      <c r="B2" s="13"/>
      <c r="C2" s="13"/>
      <c r="D2" s="13"/>
      <c r="E2" s="13"/>
      <c r="F2" s="13"/>
      <c r="G2" s="13"/>
      <c r="H2" s="13"/>
      <c r="I2" s="13"/>
      <c r="J2" s="13"/>
      <c r="K2" s="13"/>
      <c r="L2" s="13"/>
      <c r="M2" s="13"/>
      <c r="N2" s="13"/>
      <c r="O2" s="13"/>
      <c r="P2" s="13"/>
      <c r="Q2" s="13"/>
      <c r="R2" s="13"/>
      <c r="S2" s="13"/>
      <c r="T2" s="13"/>
      <c r="U2" s="13"/>
    </row>
    <row r="3" spans="1:21" ht="15.75" customHeight="1" x14ac:dyDescent="0.25">
      <c r="A3" s="15" t="s">
        <v>2</v>
      </c>
      <c r="B3" s="16" t="s">
        <v>3</v>
      </c>
      <c r="C3" s="15" t="s">
        <v>4</v>
      </c>
      <c r="D3" s="16" t="s">
        <v>5</v>
      </c>
      <c r="E3" s="15" t="s">
        <v>6</v>
      </c>
      <c r="F3" s="16" t="s">
        <v>7</v>
      </c>
      <c r="H3" s="17"/>
      <c r="I3" s="17"/>
      <c r="J3" s="17"/>
      <c r="K3" s="17"/>
      <c r="L3" s="17"/>
      <c r="M3" s="17"/>
      <c r="N3" s="17"/>
      <c r="O3" s="17"/>
      <c r="P3" s="17"/>
      <c r="Q3" s="17"/>
      <c r="R3" s="17"/>
      <c r="S3" s="17"/>
      <c r="T3" s="17"/>
      <c r="U3" s="17"/>
    </row>
    <row r="4" spans="1:21" ht="19.5" customHeight="1" x14ac:dyDescent="0.25">
      <c r="A4" s="18"/>
      <c r="B4" s="18"/>
      <c r="C4" s="18"/>
      <c r="D4" s="12" t="s">
        <v>8</v>
      </c>
      <c r="E4" s="12"/>
      <c r="F4" s="19" t="s">
        <v>9</v>
      </c>
      <c r="G4" s="11" t="s">
        <v>10</v>
      </c>
      <c r="H4" s="11"/>
      <c r="I4" s="11"/>
      <c r="J4" s="11"/>
      <c r="K4" s="10" t="s">
        <v>11</v>
      </c>
      <c r="L4" s="10"/>
      <c r="M4" s="9" t="s">
        <v>12</v>
      </c>
      <c r="N4" s="9"/>
      <c r="O4" s="8" t="s">
        <v>13</v>
      </c>
      <c r="P4" s="8"/>
      <c r="Q4" s="8"/>
      <c r="R4" s="7" t="s">
        <v>14</v>
      </c>
      <c r="S4" s="7"/>
      <c r="T4" s="6" t="s">
        <v>15</v>
      </c>
      <c r="U4" s="6"/>
    </row>
    <row r="5" spans="1:21" ht="48" customHeight="1" x14ac:dyDescent="0.25">
      <c r="A5" s="20" t="s">
        <v>16</v>
      </c>
      <c r="B5" s="20" t="s">
        <v>17</v>
      </c>
      <c r="C5" s="21" t="s">
        <v>18</v>
      </c>
      <c r="D5" s="22" t="s">
        <v>19</v>
      </c>
      <c r="E5" s="22" t="s">
        <v>20</v>
      </c>
      <c r="F5" s="23" t="s">
        <v>21</v>
      </c>
      <c r="G5" s="24" t="s">
        <v>22</v>
      </c>
      <c r="H5" s="24" t="s">
        <v>23</v>
      </c>
      <c r="I5" s="24" t="s">
        <v>24</v>
      </c>
      <c r="J5" s="24" t="s">
        <v>25</v>
      </c>
      <c r="K5" s="25" t="s">
        <v>26</v>
      </c>
      <c r="L5" s="25" t="s">
        <v>27</v>
      </c>
      <c r="M5" s="26" t="s">
        <v>28</v>
      </c>
      <c r="N5" s="26" t="s">
        <v>29</v>
      </c>
      <c r="O5" s="27" t="s">
        <v>30</v>
      </c>
      <c r="P5" s="27" t="s">
        <v>31</v>
      </c>
      <c r="Q5" s="27" t="s">
        <v>32</v>
      </c>
      <c r="R5" s="28" t="s">
        <v>33</v>
      </c>
      <c r="S5" s="28" t="s">
        <v>34</v>
      </c>
      <c r="T5" s="29" t="s">
        <v>35</v>
      </c>
      <c r="U5" s="29" t="s">
        <v>36</v>
      </c>
    </row>
    <row r="6" spans="1:21" ht="24" customHeight="1" x14ac:dyDescent="0.25">
      <c r="A6" s="30" t="s">
        <v>37</v>
      </c>
      <c r="B6" s="31" t="s">
        <v>38</v>
      </c>
      <c r="C6" s="32" t="s">
        <v>39</v>
      </c>
      <c r="D6" s="33" t="s">
        <v>40</v>
      </c>
      <c r="E6" s="33" t="s">
        <v>40</v>
      </c>
      <c r="F6" s="34" t="s">
        <v>40</v>
      </c>
      <c r="G6" s="35" t="s">
        <v>41</v>
      </c>
      <c r="H6" s="35" t="s">
        <v>41</v>
      </c>
      <c r="I6" s="35" t="s">
        <v>41</v>
      </c>
      <c r="J6" s="35" t="s">
        <v>41</v>
      </c>
      <c r="K6" s="36" t="s">
        <v>40</v>
      </c>
      <c r="L6" s="37" t="s">
        <v>42</v>
      </c>
      <c r="M6" s="38" t="s">
        <v>41</v>
      </c>
      <c r="N6" s="38" t="s">
        <v>41</v>
      </c>
      <c r="O6" s="39" t="s">
        <v>40</v>
      </c>
      <c r="P6" s="39" t="s">
        <v>40</v>
      </c>
      <c r="Q6" s="39" t="s">
        <v>40</v>
      </c>
      <c r="R6" s="40" t="s">
        <v>40</v>
      </c>
      <c r="S6" s="40" t="s">
        <v>40</v>
      </c>
      <c r="T6" s="41" t="s">
        <v>40</v>
      </c>
      <c r="U6" s="42" t="s">
        <v>41</v>
      </c>
    </row>
    <row r="7" spans="1:21" ht="24" customHeight="1" x14ac:dyDescent="0.25">
      <c r="A7" s="43" t="s">
        <v>43</v>
      </c>
      <c r="B7" s="44" t="s">
        <v>38</v>
      </c>
      <c r="C7" s="45" t="s">
        <v>44</v>
      </c>
      <c r="D7" s="46" t="s">
        <v>41</v>
      </c>
      <c r="E7" s="47" t="s">
        <v>42</v>
      </c>
      <c r="F7" s="48" t="s">
        <v>41</v>
      </c>
      <c r="G7" s="49" t="s">
        <v>45</v>
      </c>
      <c r="H7" s="49" t="s">
        <v>45</v>
      </c>
      <c r="I7" s="49" t="s">
        <v>45</v>
      </c>
      <c r="J7" s="49" t="s">
        <v>45</v>
      </c>
      <c r="K7" s="50" t="s">
        <v>41</v>
      </c>
      <c r="L7" s="37" t="s">
        <v>42</v>
      </c>
      <c r="M7" s="51" t="s">
        <v>45</v>
      </c>
      <c r="N7" s="51" t="s">
        <v>45</v>
      </c>
      <c r="O7" s="52" t="s">
        <v>42</v>
      </c>
      <c r="P7" s="39" t="s">
        <v>40</v>
      </c>
      <c r="Q7" s="39" t="s">
        <v>40</v>
      </c>
      <c r="R7" s="53" t="s">
        <v>41</v>
      </c>
      <c r="S7" s="53" t="s">
        <v>41</v>
      </c>
      <c r="T7" s="54" t="s">
        <v>45</v>
      </c>
      <c r="U7" s="54" t="s">
        <v>45</v>
      </c>
    </row>
    <row r="8" spans="1:21" ht="24" customHeight="1" x14ac:dyDescent="0.25">
      <c r="A8" s="30" t="s">
        <v>46</v>
      </c>
      <c r="B8" s="31" t="s">
        <v>38</v>
      </c>
      <c r="C8" s="32" t="s">
        <v>47</v>
      </c>
      <c r="D8" s="46" t="s">
        <v>41</v>
      </c>
      <c r="E8" s="47" t="s">
        <v>42</v>
      </c>
      <c r="F8" s="55" t="s">
        <v>42</v>
      </c>
      <c r="G8" s="35" t="s">
        <v>41</v>
      </c>
      <c r="H8" s="49" t="s">
        <v>45</v>
      </c>
      <c r="I8" s="49" t="s">
        <v>45</v>
      </c>
      <c r="J8" s="49" t="s">
        <v>45</v>
      </c>
      <c r="K8" s="37" t="s">
        <v>42</v>
      </c>
      <c r="L8" s="37" t="s">
        <v>42</v>
      </c>
      <c r="M8" s="51" t="s">
        <v>45</v>
      </c>
      <c r="N8" s="38" t="s">
        <v>41</v>
      </c>
      <c r="O8" s="56" t="s">
        <v>41</v>
      </c>
      <c r="P8" s="56" t="s">
        <v>41</v>
      </c>
      <c r="Q8" s="56" t="s">
        <v>41</v>
      </c>
      <c r="R8" s="53" t="s">
        <v>41</v>
      </c>
      <c r="S8" s="53" t="s">
        <v>41</v>
      </c>
      <c r="T8" s="54" t="s">
        <v>45</v>
      </c>
      <c r="U8" s="42" t="s">
        <v>41</v>
      </c>
    </row>
    <row r="9" spans="1:21" ht="24" customHeight="1" x14ac:dyDescent="0.25">
      <c r="A9" s="43" t="s">
        <v>48</v>
      </c>
      <c r="B9" s="44" t="s">
        <v>49</v>
      </c>
      <c r="C9" s="45" t="s">
        <v>50</v>
      </c>
      <c r="D9" s="57" t="s">
        <v>45</v>
      </c>
      <c r="E9" s="47" t="s">
        <v>42</v>
      </c>
      <c r="F9" s="48" t="s">
        <v>41</v>
      </c>
      <c r="G9" s="35" t="s">
        <v>41</v>
      </c>
      <c r="H9" s="35" t="s">
        <v>41</v>
      </c>
      <c r="I9" s="35" t="s">
        <v>41</v>
      </c>
      <c r="J9" s="35" t="s">
        <v>41</v>
      </c>
      <c r="K9" s="37" t="s">
        <v>42</v>
      </c>
      <c r="L9" s="37" t="s">
        <v>42</v>
      </c>
      <c r="M9" s="51" t="s">
        <v>45</v>
      </c>
      <c r="N9" s="51" t="s">
        <v>45</v>
      </c>
      <c r="O9" s="58" t="s">
        <v>45</v>
      </c>
      <c r="P9" s="58" t="s">
        <v>45</v>
      </c>
      <c r="Q9" s="56" t="s">
        <v>41</v>
      </c>
      <c r="R9" s="53" t="s">
        <v>41</v>
      </c>
      <c r="S9" s="59" t="s">
        <v>45</v>
      </c>
      <c r="T9" s="54" t="s">
        <v>45</v>
      </c>
      <c r="U9" s="42" t="s">
        <v>41</v>
      </c>
    </row>
    <row r="10" spans="1:21" ht="24" customHeight="1" x14ac:dyDescent="0.25">
      <c r="A10" s="30" t="s">
        <v>51</v>
      </c>
      <c r="B10" s="31" t="s">
        <v>49</v>
      </c>
      <c r="C10" s="32" t="s">
        <v>52</v>
      </c>
      <c r="D10" s="57" t="s">
        <v>45</v>
      </c>
      <c r="E10" s="47" t="s">
        <v>42</v>
      </c>
      <c r="F10" s="55" t="s">
        <v>42</v>
      </c>
      <c r="G10" s="35" t="s">
        <v>41</v>
      </c>
      <c r="H10" s="35" t="s">
        <v>41</v>
      </c>
      <c r="I10" s="35" t="s">
        <v>41</v>
      </c>
      <c r="J10" s="35" t="s">
        <v>41</v>
      </c>
      <c r="K10" s="37" t="s">
        <v>42</v>
      </c>
      <c r="L10" s="37" t="s">
        <v>42</v>
      </c>
      <c r="M10" s="51" t="s">
        <v>45</v>
      </c>
      <c r="N10" s="51" t="s">
        <v>45</v>
      </c>
      <c r="O10" s="58" t="s">
        <v>45</v>
      </c>
      <c r="P10" s="58" t="s">
        <v>45</v>
      </c>
      <c r="Q10" s="56" t="s">
        <v>41</v>
      </c>
      <c r="R10" s="59" t="s">
        <v>45</v>
      </c>
      <c r="S10" s="59" t="s">
        <v>45</v>
      </c>
      <c r="T10" s="54" t="s">
        <v>45</v>
      </c>
      <c r="U10" s="42" t="s">
        <v>41</v>
      </c>
    </row>
    <row r="11" spans="1:21" ht="24" customHeight="1" x14ac:dyDescent="0.25">
      <c r="A11" s="43" t="s">
        <v>53</v>
      </c>
      <c r="B11" s="44" t="s">
        <v>12</v>
      </c>
      <c r="C11" s="45" t="s">
        <v>54</v>
      </c>
      <c r="D11" s="57" t="s">
        <v>45</v>
      </c>
      <c r="E11" s="47" t="s">
        <v>42</v>
      </c>
      <c r="F11" s="55" t="s">
        <v>42</v>
      </c>
      <c r="G11" s="49" t="s">
        <v>45</v>
      </c>
      <c r="H11" s="49" t="s">
        <v>45</v>
      </c>
      <c r="I11" s="49" t="s">
        <v>45</v>
      </c>
      <c r="J11" s="49" t="s">
        <v>45</v>
      </c>
      <c r="K11" s="37" t="s">
        <v>42</v>
      </c>
      <c r="L11" s="37" t="s">
        <v>42</v>
      </c>
      <c r="M11" s="60" t="s">
        <v>40</v>
      </c>
      <c r="N11" s="60" t="s">
        <v>40</v>
      </c>
      <c r="O11" s="52" t="s">
        <v>42</v>
      </c>
      <c r="P11" s="58" t="s">
        <v>45</v>
      </c>
      <c r="Q11" s="52" t="s">
        <v>42</v>
      </c>
      <c r="R11" s="59" t="s">
        <v>45</v>
      </c>
      <c r="S11" s="59" t="s">
        <v>45</v>
      </c>
      <c r="T11" s="61" t="s">
        <v>42</v>
      </c>
      <c r="U11" s="42" t="s">
        <v>41</v>
      </c>
    </row>
    <row r="12" spans="1:21" ht="24" customHeight="1" x14ac:dyDescent="0.25">
      <c r="A12" s="30" t="s">
        <v>55</v>
      </c>
      <c r="B12" s="31" t="s">
        <v>56</v>
      </c>
      <c r="C12" s="32" t="s">
        <v>57</v>
      </c>
      <c r="D12" s="57" t="s">
        <v>45</v>
      </c>
      <c r="E12" s="47" t="s">
        <v>42</v>
      </c>
      <c r="F12" s="55" t="s">
        <v>42</v>
      </c>
      <c r="G12" s="35" t="s">
        <v>41</v>
      </c>
      <c r="H12" s="49" t="s">
        <v>45</v>
      </c>
      <c r="I12" s="35" t="s">
        <v>41</v>
      </c>
      <c r="J12" s="35" t="s">
        <v>41</v>
      </c>
      <c r="K12" s="37" t="s">
        <v>42</v>
      </c>
      <c r="L12" s="37" t="s">
        <v>42</v>
      </c>
      <c r="M12" s="51" t="s">
        <v>45</v>
      </c>
      <c r="N12" s="51" t="s">
        <v>45</v>
      </c>
      <c r="O12" s="58" t="s">
        <v>45</v>
      </c>
      <c r="P12" s="58" t="s">
        <v>45</v>
      </c>
      <c r="Q12" s="58" t="s">
        <v>45</v>
      </c>
      <c r="R12" s="59" t="s">
        <v>45</v>
      </c>
      <c r="S12" s="59" t="s">
        <v>45</v>
      </c>
      <c r="T12" s="54" t="s">
        <v>45</v>
      </c>
      <c r="U12" s="42" t="s">
        <v>41</v>
      </c>
    </row>
    <row r="13" spans="1:21" ht="24" customHeight="1" x14ac:dyDescent="0.25">
      <c r="A13" s="43" t="s">
        <v>58</v>
      </c>
      <c r="B13" s="44" t="s">
        <v>59</v>
      </c>
      <c r="C13" s="45" t="s">
        <v>60</v>
      </c>
      <c r="D13" s="57" t="s">
        <v>45</v>
      </c>
      <c r="E13" s="47" t="s">
        <v>42</v>
      </c>
      <c r="F13" s="55" t="s">
        <v>42</v>
      </c>
      <c r="G13" s="62" t="s">
        <v>42</v>
      </c>
      <c r="H13" s="35" t="s">
        <v>41</v>
      </c>
      <c r="I13" s="35" t="s">
        <v>41</v>
      </c>
      <c r="J13" s="49" t="s">
        <v>45</v>
      </c>
      <c r="K13" s="37" t="s">
        <v>42</v>
      </c>
      <c r="L13" s="37" t="s">
        <v>42</v>
      </c>
      <c r="M13" s="51" t="s">
        <v>45</v>
      </c>
      <c r="N13" s="51" t="s">
        <v>45</v>
      </c>
      <c r="O13" s="58" t="s">
        <v>45</v>
      </c>
      <c r="P13" s="58" t="s">
        <v>45</v>
      </c>
      <c r="Q13" s="58" t="s">
        <v>45</v>
      </c>
      <c r="R13" s="59" t="s">
        <v>45</v>
      </c>
      <c r="S13" s="59" t="s">
        <v>45</v>
      </c>
      <c r="T13" s="54" t="s">
        <v>45</v>
      </c>
      <c r="U13" s="42" t="s">
        <v>41</v>
      </c>
    </row>
    <row r="14" spans="1:21" ht="24" customHeight="1" x14ac:dyDescent="0.25">
      <c r="A14" s="30" t="s">
        <v>61</v>
      </c>
      <c r="B14" s="31" t="s">
        <v>62</v>
      </c>
      <c r="C14" s="32" t="s">
        <v>63</v>
      </c>
      <c r="D14" s="57" t="s">
        <v>45</v>
      </c>
      <c r="E14" s="47" t="s">
        <v>42</v>
      </c>
      <c r="F14" s="55" t="s">
        <v>42</v>
      </c>
      <c r="G14" s="49" t="s">
        <v>45</v>
      </c>
      <c r="H14" s="49" t="s">
        <v>45</v>
      </c>
      <c r="I14" s="35" t="s">
        <v>41</v>
      </c>
      <c r="J14" s="63" t="s">
        <v>40</v>
      </c>
      <c r="K14" s="37" t="s">
        <v>42</v>
      </c>
      <c r="L14" s="37" t="s">
        <v>42</v>
      </c>
      <c r="M14" s="51" t="s">
        <v>45</v>
      </c>
      <c r="N14" s="51" t="s">
        <v>45</v>
      </c>
      <c r="O14" s="58" t="s">
        <v>45</v>
      </c>
      <c r="P14" s="58" t="s">
        <v>45</v>
      </c>
      <c r="Q14" s="58" t="s">
        <v>45</v>
      </c>
      <c r="R14" s="59" t="s">
        <v>45</v>
      </c>
      <c r="S14" s="59" t="s">
        <v>45</v>
      </c>
      <c r="T14" s="54" t="s">
        <v>45</v>
      </c>
      <c r="U14" s="61" t="s">
        <v>42</v>
      </c>
    </row>
    <row r="15" spans="1:21" ht="24" customHeight="1" x14ac:dyDescent="0.25">
      <c r="A15" s="43" t="s">
        <v>64</v>
      </c>
      <c r="B15" s="44" t="s">
        <v>56</v>
      </c>
      <c r="C15" s="45" t="s">
        <v>65</v>
      </c>
      <c r="D15" s="57" t="s">
        <v>45</v>
      </c>
      <c r="E15" s="47" t="s">
        <v>42</v>
      </c>
      <c r="F15" s="55" t="s">
        <v>42</v>
      </c>
      <c r="G15" s="49" t="s">
        <v>45</v>
      </c>
      <c r="H15" s="49" t="s">
        <v>45</v>
      </c>
      <c r="I15" s="63" t="s">
        <v>40</v>
      </c>
      <c r="J15" s="35" t="s">
        <v>41</v>
      </c>
      <c r="K15" s="37" t="s">
        <v>42</v>
      </c>
      <c r="L15" s="37" t="s">
        <v>42</v>
      </c>
      <c r="M15" s="51" t="s">
        <v>45</v>
      </c>
      <c r="N15" s="51" t="s">
        <v>45</v>
      </c>
      <c r="O15" s="58" t="s">
        <v>45</v>
      </c>
      <c r="P15" s="58" t="s">
        <v>45</v>
      </c>
      <c r="Q15" s="58" t="s">
        <v>45</v>
      </c>
      <c r="R15" s="59" t="s">
        <v>45</v>
      </c>
      <c r="S15" s="59" t="s">
        <v>45</v>
      </c>
      <c r="T15" s="54" t="s">
        <v>45</v>
      </c>
      <c r="U15" s="42" t="s">
        <v>41</v>
      </c>
    </row>
    <row r="16" spans="1:21" ht="24" customHeight="1" x14ac:dyDescent="0.25">
      <c r="A16" s="30" t="s">
        <v>66</v>
      </c>
      <c r="B16" s="31" t="s">
        <v>67</v>
      </c>
      <c r="C16" s="32" t="s">
        <v>68</v>
      </c>
      <c r="D16" s="57" t="s">
        <v>45</v>
      </c>
      <c r="E16" s="47" t="s">
        <v>42</v>
      </c>
      <c r="F16" s="55" t="s">
        <v>42</v>
      </c>
      <c r="G16" s="35" t="s">
        <v>41</v>
      </c>
      <c r="H16" s="63" t="s">
        <v>40</v>
      </c>
      <c r="I16" s="49" t="s">
        <v>45</v>
      </c>
      <c r="J16" s="49" t="s">
        <v>45</v>
      </c>
      <c r="K16" s="37" t="s">
        <v>42</v>
      </c>
      <c r="L16" s="37" t="s">
        <v>42</v>
      </c>
      <c r="M16" s="51" t="s">
        <v>45</v>
      </c>
      <c r="N16" s="51" t="s">
        <v>45</v>
      </c>
      <c r="O16" s="58" t="s">
        <v>45</v>
      </c>
      <c r="P16" s="58" t="s">
        <v>45</v>
      </c>
      <c r="Q16" s="58" t="s">
        <v>45</v>
      </c>
      <c r="R16" s="59" t="s">
        <v>45</v>
      </c>
      <c r="S16" s="59" t="s">
        <v>45</v>
      </c>
      <c r="T16" s="54" t="s">
        <v>45</v>
      </c>
      <c r="U16" s="42" t="s">
        <v>41</v>
      </c>
    </row>
    <row r="17" spans="1:21" ht="24" customHeight="1" x14ac:dyDescent="0.25">
      <c r="A17" s="43" t="s">
        <v>69</v>
      </c>
      <c r="B17" s="44" t="s">
        <v>70</v>
      </c>
      <c r="C17" s="45" t="s">
        <v>71</v>
      </c>
      <c r="D17" s="57" t="s">
        <v>45</v>
      </c>
      <c r="E17" s="57" t="s">
        <v>45</v>
      </c>
      <c r="F17" s="64" t="s">
        <v>45</v>
      </c>
      <c r="G17" s="49" t="s">
        <v>45</v>
      </c>
      <c r="H17" s="49" t="s">
        <v>45</v>
      </c>
      <c r="I17" s="49" t="s">
        <v>45</v>
      </c>
      <c r="J17" s="49" t="s">
        <v>45</v>
      </c>
      <c r="K17" s="65" t="s">
        <v>45</v>
      </c>
      <c r="L17" s="37" t="s">
        <v>42</v>
      </c>
      <c r="M17" s="51" t="s">
        <v>45</v>
      </c>
      <c r="N17" s="51" t="s">
        <v>45</v>
      </c>
      <c r="O17" s="58" t="s">
        <v>45</v>
      </c>
      <c r="P17" s="58" t="s">
        <v>45</v>
      </c>
      <c r="Q17" s="56" t="s">
        <v>41</v>
      </c>
      <c r="R17" s="59" t="s">
        <v>45</v>
      </c>
      <c r="S17" s="59" t="s">
        <v>45</v>
      </c>
      <c r="T17" s="54" t="s">
        <v>45</v>
      </c>
      <c r="U17" s="54" t="s">
        <v>45</v>
      </c>
    </row>
    <row r="18" spans="1:21" ht="24" customHeight="1" x14ac:dyDescent="0.25">
      <c r="A18" s="30" t="s">
        <v>72</v>
      </c>
      <c r="B18" s="31" t="s">
        <v>73</v>
      </c>
      <c r="C18" s="32" t="s">
        <v>74</v>
      </c>
      <c r="D18" s="57" t="s">
        <v>45</v>
      </c>
      <c r="E18" s="57" t="s">
        <v>45</v>
      </c>
      <c r="F18" s="48" t="s">
        <v>41</v>
      </c>
      <c r="G18" s="35" t="s">
        <v>41</v>
      </c>
      <c r="H18" s="35" t="s">
        <v>41</v>
      </c>
      <c r="I18" s="35" t="s">
        <v>41</v>
      </c>
      <c r="J18" s="35" t="s">
        <v>41</v>
      </c>
      <c r="K18" s="65" t="s">
        <v>45</v>
      </c>
      <c r="L18" s="65" t="s">
        <v>45</v>
      </c>
      <c r="M18" s="51" t="s">
        <v>45</v>
      </c>
      <c r="N18" s="51" t="s">
        <v>45</v>
      </c>
      <c r="O18" s="58" t="s">
        <v>45</v>
      </c>
      <c r="P18" s="58" t="s">
        <v>45</v>
      </c>
      <c r="Q18" s="58" t="s">
        <v>45</v>
      </c>
      <c r="R18" s="53" t="s">
        <v>41</v>
      </c>
      <c r="S18" s="59" t="s">
        <v>45</v>
      </c>
      <c r="T18" s="54" t="s">
        <v>45</v>
      </c>
      <c r="U18" s="42" t="s">
        <v>41</v>
      </c>
    </row>
    <row r="20" spans="1:21" x14ac:dyDescent="0.25">
      <c r="A20" s="5" t="s">
        <v>75</v>
      </c>
      <c r="B20" s="5"/>
      <c r="C20" s="5"/>
    </row>
    <row r="21" spans="1:21" ht="18" customHeight="1" x14ac:dyDescent="0.25">
      <c r="A21" s="40" t="s">
        <v>40</v>
      </c>
      <c r="B21" s="4" t="s">
        <v>76</v>
      </c>
      <c r="C21" s="4"/>
    </row>
    <row r="22" spans="1:21" ht="18" customHeight="1" x14ac:dyDescent="0.25">
      <c r="A22" s="66" t="s">
        <v>42</v>
      </c>
      <c r="B22" s="3" t="s">
        <v>77</v>
      </c>
      <c r="C22" s="3"/>
    </row>
    <row r="23" spans="1:21" ht="18" customHeight="1" x14ac:dyDescent="0.25">
      <c r="A23" s="38" t="s">
        <v>41</v>
      </c>
      <c r="B23" s="4" t="s">
        <v>78</v>
      </c>
      <c r="C23" s="4"/>
    </row>
    <row r="24" spans="1:21" ht="18" customHeight="1" x14ac:dyDescent="0.25">
      <c r="A24" s="67" t="s">
        <v>45</v>
      </c>
      <c r="B24" s="3" t="s">
        <v>79</v>
      </c>
      <c r="C24" s="3"/>
    </row>
    <row r="25" spans="1:21" ht="18" customHeight="1" x14ac:dyDescent="0.25">
      <c r="A25" s="68" t="s">
        <v>80</v>
      </c>
      <c r="B25" s="4" t="s">
        <v>81</v>
      </c>
      <c r="C25" s="4"/>
    </row>
    <row r="27" spans="1:21" ht="27.75" customHeight="1" x14ac:dyDescent="0.25">
      <c r="A27" s="2" t="s">
        <v>82</v>
      </c>
      <c r="B27" s="2"/>
      <c r="C27" s="2"/>
      <c r="D27" s="2"/>
      <c r="E27" s="2"/>
      <c r="F27" s="2"/>
      <c r="G27" s="2"/>
      <c r="H27" s="2"/>
      <c r="I27" s="2"/>
      <c r="J27" s="2"/>
      <c r="K27" s="2"/>
      <c r="L27" s="2"/>
      <c r="M27" s="2"/>
      <c r="N27" s="2"/>
      <c r="O27" s="2"/>
      <c r="P27" s="2"/>
      <c r="Q27" s="2"/>
      <c r="R27" s="2"/>
      <c r="S27" s="2"/>
      <c r="T27" s="2"/>
      <c r="U27" s="2"/>
    </row>
  </sheetData>
  <mergeCells count="16">
    <mergeCell ref="B25:C25"/>
    <mergeCell ref="A27:U27"/>
    <mergeCell ref="A20:C20"/>
    <mergeCell ref="B21:C21"/>
    <mergeCell ref="B22:C22"/>
    <mergeCell ref="B23:C23"/>
    <mergeCell ref="B24:C24"/>
    <mergeCell ref="A1:U1"/>
    <mergeCell ref="A2:U2"/>
    <mergeCell ref="D4:E4"/>
    <mergeCell ref="G4:J4"/>
    <mergeCell ref="K4:L4"/>
    <mergeCell ref="M4:N4"/>
    <mergeCell ref="O4:Q4"/>
    <mergeCell ref="R4:S4"/>
    <mergeCell ref="T4:U4"/>
  </mergeCells>
  <conditionalFormatting sqref="D6:U18">
    <cfRule type="cellIs" dxfId="3" priority="2" operator="equal">
      <formula>"ADM"</formula>
    </cfRule>
    <cfRule type="cellIs" dxfId="2" priority="3" operator="equal">
      <formula>"L/E"</formula>
    </cfRule>
    <cfRule type="cellIs" dxfId="1" priority="4" operator="equal">
      <formula>"L"</formula>
    </cfRule>
    <cfRule type="cellIs" dxfId="0" priority="5" operator="equal">
      <formula>"—"</formula>
    </cfRule>
  </conditionalFormatting>
  <dataValidations count="1">
    <dataValidation type="list" allowBlank="1" sqref="D6:U18" xr:uid="{00000000-0002-0000-0000-000000000000}">
      <formula1>"ADM,L/E,L,—,N/A"</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0"/>
  <sheetViews>
    <sheetView showGridLines="0" zoomScaleNormal="100" workbookViewId="0"/>
  </sheetViews>
  <sheetFormatPr baseColWidth="10" defaultColWidth="8.7109375" defaultRowHeight="15" x14ac:dyDescent="0.25"/>
  <cols>
    <col min="1" max="1" width="32" customWidth="1"/>
    <col min="2" max="2" width="12" customWidth="1"/>
    <col min="3" max="3" width="4" customWidth="1"/>
    <col min="4" max="4" width="28" customWidth="1"/>
    <col min="5" max="5" width="16" customWidth="1"/>
    <col min="6" max="6" width="10" customWidth="1"/>
    <col min="7" max="7" width="14" customWidth="1"/>
    <col min="8" max="8" width="4" customWidth="1"/>
  </cols>
  <sheetData>
    <row r="1" spans="1:8" ht="27.75" customHeight="1" x14ac:dyDescent="0.25">
      <c r="A1" s="14" t="s">
        <v>83</v>
      </c>
      <c r="B1" s="14"/>
      <c r="C1" s="14"/>
      <c r="D1" s="14"/>
      <c r="E1" s="14"/>
      <c r="F1" s="14"/>
      <c r="G1" s="14"/>
      <c r="H1" s="14"/>
    </row>
    <row r="2" spans="1:8" ht="15.75" customHeight="1" x14ac:dyDescent="0.25">
      <c r="A2" s="13" t="s">
        <v>84</v>
      </c>
      <c r="B2" s="13"/>
      <c r="C2" s="13"/>
      <c r="D2" s="13"/>
      <c r="E2" s="13"/>
      <c r="F2" s="13"/>
      <c r="G2" s="13"/>
      <c r="H2" s="13"/>
    </row>
    <row r="3" spans="1:8" ht="9.75" customHeight="1" x14ac:dyDescent="0.25"/>
    <row r="4" spans="1:8" ht="21.75" customHeight="1" x14ac:dyDescent="0.25">
      <c r="A4" s="69" t="s">
        <v>85</v>
      </c>
      <c r="B4" s="70">
        <f>13</f>
        <v>13</v>
      </c>
      <c r="D4" s="1" t="s">
        <v>86</v>
      </c>
      <c r="E4" s="1"/>
      <c r="F4" s="1"/>
      <c r="G4" s="1"/>
    </row>
    <row r="5" spans="1:8" x14ac:dyDescent="0.25">
      <c r="D5" s="20" t="s">
        <v>16</v>
      </c>
      <c r="E5" s="20" t="s">
        <v>17</v>
      </c>
      <c r="F5" s="20" t="s">
        <v>87</v>
      </c>
      <c r="G5" s="20" t="s">
        <v>88</v>
      </c>
    </row>
    <row r="6" spans="1:8" ht="19.5" customHeight="1" x14ac:dyDescent="0.25">
      <c r="A6" s="69" t="s">
        <v>89</v>
      </c>
      <c r="B6" s="70">
        <f>18</f>
        <v>18</v>
      </c>
      <c r="D6" s="71" t="s">
        <v>37</v>
      </c>
      <c r="E6" s="31" t="s">
        <v>38</v>
      </c>
      <c r="F6" s="40">
        <f>COUNTIF('Matriz RBAC'!D6:U6,"ADM")</f>
        <v>10</v>
      </c>
      <c r="G6" s="72">
        <f t="shared" ref="G6:G18" si="0">IF(18=0,0,F6/18)</f>
        <v>0.55555555555555558</v>
      </c>
    </row>
    <row r="7" spans="1:8" ht="19.5" customHeight="1" x14ac:dyDescent="0.25">
      <c r="D7" s="73" t="s">
        <v>43</v>
      </c>
      <c r="E7" s="44" t="s">
        <v>38</v>
      </c>
      <c r="F7" s="74">
        <f>COUNTIF('Matriz RBAC'!D7:U7,"ADM")</f>
        <v>2</v>
      </c>
      <c r="G7" s="75">
        <f t="shared" si="0"/>
        <v>0.1111111111111111</v>
      </c>
    </row>
    <row r="8" spans="1:8" ht="19.5" customHeight="1" x14ac:dyDescent="0.25">
      <c r="A8" s="76" t="s">
        <v>90</v>
      </c>
      <c r="B8" s="77">
        <f>COUNTIF('Matriz RBAC'!D6:U18,"ADM")</f>
        <v>17</v>
      </c>
      <c r="D8" s="71" t="s">
        <v>46</v>
      </c>
      <c r="E8" s="31" t="s">
        <v>38</v>
      </c>
      <c r="F8" s="40">
        <f>COUNTIF('Matriz RBAC'!D8:U8,"ADM")</f>
        <v>0</v>
      </c>
      <c r="G8" s="72">
        <f t="shared" si="0"/>
        <v>0</v>
      </c>
    </row>
    <row r="9" spans="1:8" ht="19.5" customHeight="1" x14ac:dyDescent="0.25">
      <c r="D9" s="73" t="s">
        <v>48</v>
      </c>
      <c r="E9" s="44" t="s">
        <v>49</v>
      </c>
      <c r="F9" s="74">
        <f>COUNTIF('Matriz RBAC'!D9:U9,"ADM")</f>
        <v>0</v>
      </c>
      <c r="G9" s="75">
        <f t="shared" si="0"/>
        <v>0</v>
      </c>
    </row>
    <row r="10" spans="1:8" ht="19.5" customHeight="1" x14ac:dyDescent="0.25">
      <c r="A10" s="78" t="s">
        <v>91</v>
      </c>
      <c r="B10" s="79">
        <f>COUNTIF('Matriz RBAC'!D6:U18,"L/E")</f>
        <v>45</v>
      </c>
      <c r="D10" s="71" t="s">
        <v>51</v>
      </c>
      <c r="E10" s="31" t="s">
        <v>49</v>
      </c>
      <c r="F10" s="40">
        <f>COUNTIF('Matriz RBAC'!D10:U10,"ADM")</f>
        <v>0</v>
      </c>
      <c r="G10" s="72">
        <f t="shared" si="0"/>
        <v>0</v>
      </c>
    </row>
    <row r="11" spans="1:8" ht="19.5" customHeight="1" x14ac:dyDescent="0.25">
      <c r="D11" s="73" t="s">
        <v>53</v>
      </c>
      <c r="E11" s="44" t="s">
        <v>12</v>
      </c>
      <c r="F11" s="74">
        <f>COUNTIF('Matriz RBAC'!D11:U11,"ADM")</f>
        <v>2</v>
      </c>
      <c r="G11" s="75">
        <f t="shared" si="0"/>
        <v>0.1111111111111111</v>
      </c>
    </row>
    <row r="12" spans="1:8" ht="19.5" customHeight="1" x14ac:dyDescent="0.25">
      <c r="A12" s="80" t="s">
        <v>92</v>
      </c>
      <c r="B12" s="81">
        <f>COUNTIF('Matriz RBAC'!D6:U18,"L")</f>
        <v>56</v>
      </c>
      <c r="D12" s="71" t="s">
        <v>55</v>
      </c>
      <c r="E12" s="31" t="s">
        <v>56</v>
      </c>
      <c r="F12" s="40">
        <f>COUNTIF('Matriz RBAC'!D12:U12,"ADM")</f>
        <v>0</v>
      </c>
      <c r="G12" s="72">
        <f t="shared" si="0"/>
        <v>0</v>
      </c>
    </row>
    <row r="13" spans="1:8" ht="19.5" customHeight="1" x14ac:dyDescent="0.25">
      <c r="D13" s="73" t="s">
        <v>58</v>
      </c>
      <c r="E13" s="44" t="s">
        <v>59</v>
      </c>
      <c r="F13" s="74">
        <f>COUNTIF('Matriz RBAC'!D13:U13,"ADM")</f>
        <v>0</v>
      </c>
      <c r="G13" s="75">
        <f t="shared" si="0"/>
        <v>0</v>
      </c>
    </row>
    <row r="14" spans="1:8" ht="19.5" customHeight="1" x14ac:dyDescent="0.25">
      <c r="A14" s="82" t="s">
        <v>93</v>
      </c>
      <c r="B14" s="83">
        <f>COUNTIF('Matriz RBAC'!D6:U18,"—")</f>
        <v>116</v>
      </c>
      <c r="D14" s="71" t="s">
        <v>61</v>
      </c>
      <c r="E14" s="31" t="s">
        <v>62</v>
      </c>
      <c r="F14" s="40">
        <f>COUNTIF('Matriz RBAC'!D14:U14,"ADM")</f>
        <v>1</v>
      </c>
      <c r="G14" s="72">
        <f t="shared" si="0"/>
        <v>5.5555555555555552E-2</v>
      </c>
    </row>
    <row r="15" spans="1:8" ht="19.5" customHeight="1" x14ac:dyDescent="0.25">
      <c r="D15" s="73" t="s">
        <v>64</v>
      </c>
      <c r="E15" s="44" t="s">
        <v>56</v>
      </c>
      <c r="F15" s="74">
        <f>COUNTIF('Matriz RBAC'!D15:U15,"ADM")</f>
        <v>1</v>
      </c>
      <c r="G15" s="75">
        <f t="shared" si="0"/>
        <v>5.5555555555555552E-2</v>
      </c>
    </row>
    <row r="16" spans="1:8" ht="19.5" customHeight="1" x14ac:dyDescent="0.25">
      <c r="D16" s="71" t="s">
        <v>66</v>
      </c>
      <c r="E16" s="31" t="s">
        <v>67</v>
      </c>
      <c r="F16" s="40">
        <f>COUNTIF('Matriz RBAC'!D16:U16,"ADM")</f>
        <v>1</v>
      </c>
      <c r="G16" s="72">
        <f t="shared" si="0"/>
        <v>5.5555555555555552E-2</v>
      </c>
    </row>
    <row r="17" spans="4:7" ht="19.5" customHeight="1" x14ac:dyDescent="0.25">
      <c r="D17" s="73" t="s">
        <v>69</v>
      </c>
      <c r="E17" s="44" t="s">
        <v>70</v>
      </c>
      <c r="F17" s="74">
        <f>COUNTIF('Matriz RBAC'!D17:U17,"ADM")</f>
        <v>0</v>
      </c>
      <c r="G17" s="75">
        <f t="shared" si="0"/>
        <v>0</v>
      </c>
    </row>
    <row r="18" spans="4:7" ht="19.5" customHeight="1" x14ac:dyDescent="0.25">
      <c r="D18" s="71" t="s">
        <v>72</v>
      </c>
      <c r="E18" s="31" t="s">
        <v>73</v>
      </c>
      <c r="F18" s="40">
        <f>COUNTIF('Matriz RBAC'!D18:U18,"ADM")</f>
        <v>0</v>
      </c>
      <c r="G18" s="72">
        <f t="shared" si="0"/>
        <v>0</v>
      </c>
    </row>
    <row r="21" spans="4:7" x14ac:dyDescent="0.25">
      <c r="D21" s="1" t="s">
        <v>94</v>
      </c>
      <c r="E21" s="1"/>
      <c r="F21" s="1"/>
      <c r="G21" s="1"/>
    </row>
    <row r="22" spans="4:7" x14ac:dyDescent="0.25">
      <c r="D22" s="20" t="s">
        <v>95</v>
      </c>
      <c r="E22" s="20" t="s">
        <v>96</v>
      </c>
      <c r="F22" s="20" t="s">
        <v>87</v>
      </c>
      <c r="G22" s="20" t="s">
        <v>97</v>
      </c>
    </row>
    <row r="23" spans="4:7" ht="19.5" customHeight="1" x14ac:dyDescent="0.25">
      <c r="D23" s="84" t="s">
        <v>19</v>
      </c>
      <c r="E23" s="31" t="s">
        <v>8</v>
      </c>
      <c r="F23" s="40">
        <f>COUNTIF('Matriz RBAC'!D6:D18,"ADM")</f>
        <v>1</v>
      </c>
      <c r="G23" s="72">
        <f t="shared" ref="G23:G40" si="1">IF(13=0,0,F23/13)</f>
        <v>7.6923076923076927E-2</v>
      </c>
    </row>
    <row r="24" spans="4:7" ht="19.5" customHeight="1" x14ac:dyDescent="0.25">
      <c r="D24" s="85" t="s">
        <v>20</v>
      </c>
      <c r="E24" s="44" t="s">
        <v>8</v>
      </c>
      <c r="F24" s="74">
        <f>COUNTIF('Matriz RBAC'!E6:E18,"ADM")</f>
        <v>1</v>
      </c>
      <c r="G24" s="75">
        <f t="shared" si="1"/>
        <v>7.6923076923076927E-2</v>
      </c>
    </row>
    <row r="25" spans="4:7" ht="19.5" customHeight="1" x14ac:dyDescent="0.25">
      <c r="D25" s="84" t="s">
        <v>21</v>
      </c>
      <c r="E25" s="31" t="s">
        <v>9</v>
      </c>
      <c r="F25" s="40">
        <f>COUNTIF('Matriz RBAC'!F6:F18,"ADM")</f>
        <v>1</v>
      </c>
      <c r="G25" s="72">
        <f t="shared" si="1"/>
        <v>7.6923076923076927E-2</v>
      </c>
    </row>
    <row r="26" spans="4:7" ht="19.5" customHeight="1" x14ac:dyDescent="0.25">
      <c r="D26" s="85" t="s">
        <v>22</v>
      </c>
      <c r="E26" s="44" t="s">
        <v>10</v>
      </c>
      <c r="F26" s="74">
        <f>COUNTIF('Matriz RBAC'!G6:G18,"ADM")</f>
        <v>0</v>
      </c>
      <c r="G26" s="75">
        <f t="shared" si="1"/>
        <v>0</v>
      </c>
    </row>
    <row r="27" spans="4:7" ht="19.5" customHeight="1" x14ac:dyDescent="0.25">
      <c r="D27" s="84" t="s">
        <v>23</v>
      </c>
      <c r="E27" s="31" t="s">
        <v>10</v>
      </c>
      <c r="F27" s="40">
        <f>COUNTIF('Matriz RBAC'!H6:H18,"ADM")</f>
        <v>1</v>
      </c>
      <c r="G27" s="72">
        <f t="shared" si="1"/>
        <v>7.6923076923076927E-2</v>
      </c>
    </row>
    <row r="28" spans="4:7" ht="19.5" customHeight="1" x14ac:dyDescent="0.25">
      <c r="D28" s="85" t="s">
        <v>24</v>
      </c>
      <c r="E28" s="44" t="s">
        <v>10</v>
      </c>
      <c r="F28" s="74">
        <f>COUNTIF('Matriz RBAC'!I6:I18,"ADM")</f>
        <v>1</v>
      </c>
      <c r="G28" s="75">
        <f t="shared" si="1"/>
        <v>7.6923076923076927E-2</v>
      </c>
    </row>
    <row r="29" spans="4:7" ht="19.5" customHeight="1" x14ac:dyDescent="0.25">
      <c r="D29" s="84" t="s">
        <v>25</v>
      </c>
      <c r="E29" s="31" t="s">
        <v>10</v>
      </c>
      <c r="F29" s="40">
        <f>COUNTIF('Matriz RBAC'!J6:J18,"ADM")</f>
        <v>1</v>
      </c>
      <c r="G29" s="72">
        <f t="shared" si="1"/>
        <v>7.6923076923076927E-2</v>
      </c>
    </row>
    <row r="30" spans="4:7" ht="19.5" customHeight="1" x14ac:dyDescent="0.25">
      <c r="D30" s="85" t="s">
        <v>26</v>
      </c>
      <c r="E30" s="44" t="s">
        <v>11</v>
      </c>
      <c r="F30" s="74">
        <f>COUNTIF('Matriz RBAC'!K6:K18,"ADM")</f>
        <v>1</v>
      </c>
      <c r="G30" s="75">
        <f t="shared" si="1"/>
        <v>7.6923076923076927E-2</v>
      </c>
    </row>
    <row r="31" spans="4:7" ht="19.5" customHeight="1" x14ac:dyDescent="0.25">
      <c r="D31" s="84" t="s">
        <v>27</v>
      </c>
      <c r="E31" s="31" t="s">
        <v>11</v>
      </c>
      <c r="F31" s="40">
        <f>COUNTIF('Matriz RBAC'!L6:L18,"ADM")</f>
        <v>0</v>
      </c>
      <c r="G31" s="72">
        <f t="shared" si="1"/>
        <v>0</v>
      </c>
    </row>
    <row r="32" spans="4:7" ht="19.5" customHeight="1" x14ac:dyDescent="0.25">
      <c r="D32" s="85" t="s">
        <v>28</v>
      </c>
      <c r="E32" s="44" t="s">
        <v>12</v>
      </c>
      <c r="F32" s="74">
        <f>COUNTIF('Matriz RBAC'!M6:M18,"ADM")</f>
        <v>1</v>
      </c>
      <c r="G32" s="75">
        <f t="shared" si="1"/>
        <v>7.6923076923076927E-2</v>
      </c>
    </row>
    <row r="33" spans="4:7" ht="19.5" customHeight="1" x14ac:dyDescent="0.25">
      <c r="D33" s="84" t="s">
        <v>29</v>
      </c>
      <c r="E33" s="31" t="s">
        <v>12</v>
      </c>
      <c r="F33" s="40">
        <f>COUNTIF('Matriz RBAC'!N6:N18,"ADM")</f>
        <v>1</v>
      </c>
      <c r="G33" s="72">
        <f t="shared" si="1"/>
        <v>7.6923076923076927E-2</v>
      </c>
    </row>
    <row r="34" spans="4:7" ht="19.5" customHeight="1" x14ac:dyDescent="0.25">
      <c r="D34" s="85" t="s">
        <v>30</v>
      </c>
      <c r="E34" s="44" t="s">
        <v>13</v>
      </c>
      <c r="F34" s="74">
        <f>COUNTIF('Matriz RBAC'!O6:O18,"ADM")</f>
        <v>1</v>
      </c>
      <c r="G34" s="75">
        <f t="shared" si="1"/>
        <v>7.6923076923076927E-2</v>
      </c>
    </row>
    <row r="35" spans="4:7" ht="19.5" customHeight="1" x14ac:dyDescent="0.25">
      <c r="D35" s="84" t="s">
        <v>31</v>
      </c>
      <c r="E35" s="31" t="s">
        <v>13</v>
      </c>
      <c r="F35" s="40">
        <f>COUNTIF('Matriz RBAC'!P6:P18,"ADM")</f>
        <v>2</v>
      </c>
      <c r="G35" s="72">
        <f t="shared" si="1"/>
        <v>0.15384615384615385</v>
      </c>
    </row>
    <row r="36" spans="4:7" ht="19.5" customHeight="1" x14ac:dyDescent="0.25">
      <c r="D36" s="85" t="s">
        <v>32</v>
      </c>
      <c r="E36" s="44" t="s">
        <v>13</v>
      </c>
      <c r="F36" s="74">
        <f>COUNTIF('Matriz RBAC'!Q6:Q18,"ADM")</f>
        <v>2</v>
      </c>
      <c r="G36" s="75">
        <f t="shared" si="1"/>
        <v>0.15384615384615385</v>
      </c>
    </row>
    <row r="37" spans="4:7" ht="19.5" customHeight="1" x14ac:dyDescent="0.25">
      <c r="D37" s="84" t="s">
        <v>33</v>
      </c>
      <c r="E37" s="31" t="s">
        <v>14</v>
      </c>
      <c r="F37" s="40">
        <f>COUNTIF('Matriz RBAC'!R6:R18,"ADM")</f>
        <v>1</v>
      </c>
      <c r="G37" s="72">
        <f t="shared" si="1"/>
        <v>7.6923076923076927E-2</v>
      </c>
    </row>
    <row r="38" spans="4:7" ht="19.5" customHeight="1" x14ac:dyDescent="0.25">
      <c r="D38" s="85" t="s">
        <v>34</v>
      </c>
      <c r="E38" s="44" t="s">
        <v>14</v>
      </c>
      <c r="F38" s="74">
        <f>COUNTIF('Matriz RBAC'!S6:S18,"ADM")</f>
        <v>1</v>
      </c>
      <c r="G38" s="75">
        <f t="shared" si="1"/>
        <v>7.6923076923076927E-2</v>
      </c>
    </row>
    <row r="39" spans="4:7" ht="19.5" customHeight="1" x14ac:dyDescent="0.25">
      <c r="D39" s="84" t="s">
        <v>35</v>
      </c>
      <c r="E39" s="31" t="s">
        <v>15</v>
      </c>
      <c r="F39" s="40">
        <f>COUNTIF('Matriz RBAC'!T6:T18,"ADM")</f>
        <v>1</v>
      </c>
      <c r="G39" s="72">
        <f t="shared" si="1"/>
        <v>7.6923076923076927E-2</v>
      </c>
    </row>
    <row r="40" spans="4:7" ht="19.5" customHeight="1" x14ac:dyDescent="0.25">
      <c r="D40" s="85" t="s">
        <v>36</v>
      </c>
      <c r="E40" s="44" t="s">
        <v>15</v>
      </c>
      <c r="F40" s="74">
        <f>COUNTIF('Matriz RBAC'!U6:U18,"ADM")</f>
        <v>0</v>
      </c>
      <c r="G40" s="75">
        <f t="shared" si="1"/>
        <v>0</v>
      </c>
    </row>
  </sheetData>
  <mergeCells count="4">
    <mergeCell ref="A1:H1"/>
    <mergeCell ref="A2:H2"/>
    <mergeCell ref="D4:G4"/>
    <mergeCell ref="D21:G2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showGridLines="0" zoomScaleNormal="100" workbookViewId="0"/>
  </sheetViews>
  <sheetFormatPr baseColWidth="10" defaultColWidth="8.7109375" defaultRowHeight="15" x14ac:dyDescent="0.25"/>
  <cols>
    <col min="1" max="1" width="18" customWidth="1"/>
    <col min="2" max="2" width="26" customWidth="1"/>
    <col min="3" max="3" width="60" customWidth="1"/>
  </cols>
  <sheetData>
    <row r="1" spans="1:5" ht="27.75" customHeight="1" x14ac:dyDescent="0.25">
      <c r="A1" s="14" t="s">
        <v>98</v>
      </c>
      <c r="B1" s="14"/>
      <c r="C1" s="14"/>
      <c r="D1" s="14"/>
      <c r="E1" s="14"/>
    </row>
    <row r="2" spans="1:5" ht="15.75" customHeight="1" x14ac:dyDescent="0.25">
      <c r="A2" s="13" t="s">
        <v>99</v>
      </c>
      <c r="B2" s="13"/>
      <c r="C2" s="13"/>
      <c r="D2" s="13"/>
      <c r="E2" s="13"/>
    </row>
    <row r="3" spans="1:5" ht="19.5" customHeight="1" x14ac:dyDescent="0.25">
      <c r="A3" s="86"/>
      <c r="B3" s="86"/>
      <c r="C3" s="86"/>
    </row>
    <row r="4" spans="1:5" ht="19.5" customHeight="1" x14ac:dyDescent="0.25">
      <c r="A4" s="87" t="s">
        <v>100</v>
      </c>
      <c r="B4" s="87" t="s">
        <v>101</v>
      </c>
      <c r="C4" s="87" t="s">
        <v>102</v>
      </c>
    </row>
    <row r="5" spans="1:5" ht="36" customHeight="1" x14ac:dyDescent="0.25">
      <c r="A5" s="88" t="s">
        <v>103</v>
      </c>
      <c r="B5" s="88" t="s">
        <v>104</v>
      </c>
      <c r="C5" s="88" t="s">
        <v>105</v>
      </c>
    </row>
    <row r="6" spans="1:5" ht="19.5" customHeight="1" x14ac:dyDescent="0.25">
      <c r="A6" s="89" t="s">
        <v>103</v>
      </c>
      <c r="B6" s="89" t="s">
        <v>106</v>
      </c>
      <c r="C6" s="89" t="s">
        <v>107</v>
      </c>
    </row>
    <row r="7" spans="1:5" ht="36" customHeight="1" x14ac:dyDescent="0.25">
      <c r="A7" s="88" t="s">
        <v>108</v>
      </c>
      <c r="B7" s="88" t="s">
        <v>109</v>
      </c>
      <c r="C7" s="88" t="s">
        <v>110</v>
      </c>
    </row>
    <row r="8" spans="1:5" ht="36" customHeight="1" x14ac:dyDescent="0.25">
      <c r="A8" s="89" t="s">
        <v>111</v>
      </c>
      <c r="B8" s="89" t="s">
        <v>112</v>
      </c>
      <c r="C8" s="89" t="s">
        <v>113</v>
      </c>
    </row>
    <row r="9" spans="1:5" ht="36" customHeight="1" x14ac:dyDescent="0.25">
      <c r="A9" s="88" t="s">
        <v>114</v>
      </c>
      <c r="B9" s="88" t="s">
        <v>115</v>
      </c>
      <c r="C9" s="88" t="s">
        <v>116</v>
      </c>
    </row>
    <row r="10" spans="1:5" ht="36" customHeight="1" x14ac:dyDescent="0.25">
      <c r="A10" s="89" t="s">
        <v>117</v>
      </c>
      <c r="B10" s="89" t="s">
        <v>118</v>
      </c>
      <c r="C10" s="89" t="s">
        <v>119</v>
      </c>
    </row>
    <row r="11" spans="1:5" ht="36" customHeight="1" x14ac:dyDescent="0.25">
      <c r="A11" s="88" t="s">
        <v>120</v>
      </c>
      <c r="B11" s="88" t="s">
        <v>121</v>
      </c>
      <c r="C11" s="88" t="s">
        <v>122</v>
      </c>
    </row>
    <row r="12" spans="1:5" ht="36" customHeight="1" x14ac:dyDescent="0.25">
      <c r="A12" s="89" t="s">
        <v>123</v>
      </c>
      <c r="B12" s="89" t="s">
        <v>124</v>
      </c>
      <c r="C12" s="89" t="s">
        <v>125</v>
      </c>
    </row>
    <row r="13" spans="1:5" ht="36" customHeight="1" x14ac:dyDescent="0.25">
      <c r="A13" s="88" t="s">
        <v>126</v>
      </c>
      <c r="B13" s="88" t="s">
        <v>127</v>
      </c>
      <c r="C13" s="88" t="s">
        <v>128</v>
      </c>
    </row>
    <row r="14" spans="1:5" ht="36" customHeight="1" x14ac:dyDescent="0.25">
      <c r="A14" s="89" t="s">
        <v>129</v>
      </c>
      <c r="B14" s="89" t="s">
        <v>130</v>
      </c>
      <c r="C14" s="89" t="s">
        <v>131</v>
      </c>
    </row>
    <row r="15" spans="1:5" ht="19.5" customHeight="1" x14ac:dyDescent="0.25">
      <c r="A15" s="86"/>
      <c r="B15" s="86"/>
      <c r="C15" s="86"/>
    </row>
    <row r="16" spans="1:5" ht="19.5" customHeight="1" x14ac:dyDescent="0.25">
      <c r="A16" s="87" t="s">
        <v>132</v>
      </c>
      <c r="B16" s="87" t="s">
        <v>133</v>
      </c>
      <c r="C16" s="87" t="s">
        <v>134</v>
      </c>
    </row>
    <row r="17" spans="1:3" ht="19.5" customHeight="1" x14ac:dyDescent="0.25">
      <c r="A17" s="88" t="s">
        <v>40</v>
      </c>
      <c r="B17" s="88" t="s">
        <v>135</v>
      </c>
      <c r="C17" s="88" t="s">
        <v>136</v>
      </c>
    </row>
    <row r="18" spans="1:3" ht="19.5" customHeight="1" x14ac:dyDescent="0.25">
      <c r="A18" s="89" t="s">
        <v>42</v>
      </c>
      <c r="B18" s="89" t="s">
        <v>137</v>
      </c>
      <c r="C18" s="89" t="s">
        <v>138</v>
      </c>
    </row>
    <row r="19" spans="1:3" ht="19.5" customHeight="1" x14ac:dyDescent="0.25">
      <c r="A19" s="88" t="s">
        <v>41</v>
      </c>
      <c r="B19" s="88" t="s">
        <v>139</v>
      </c>
      <c r="C19" s="88" t="s">
        <v>140</v>
      </c>
    </row>
    <row r="20" spans="1:3" ht="19.5" customHeight="1" x14ac:dyDescent="0.25">
      <c r="A20" s="89" t="s">
        <v>45</v>
      </c>
      <c r="B20" s="89" t="s">
        <v>141</v>
      </c>
      <c r="C20" s="89" t="s">
        <v>142</v>
      </c>
    </row>
    <row r="21" spans="1:3" ht="19.5" customHeight="1" x14ac:dyDescent="0.25">
      <c r="A21" s="88" t="s">
        <v>80</v>
      </c>
      <c r="B21" s="88" t="s">
        <v>143</v>
      </c>
      <c r="C21" s="88" t="s">
        <v>144</v>
      </c>
    </row>
  </sheetData>
  <mergeCells count="2">
    <mergeCell ref="A1:E1"/>
    <mergeCell ref="A2:E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 RBAC</vt:lpstr>
      <vt:lpstr>Dashboard</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mvergara@openitnet.com</dc:creator>
  <dc:description/>
  <cp:lastModifiedBy>Mauricio Vergara</cp:lastModifiedBy>
  <cp:revision>0</cp:revision>
  <dcterms:created xsi:type="dcterms:W3CDTF">2026-05-20T18:50:03Z</dcterms:created>
  <dcterms:modified xsi:type="dcterms:W3CDTF">2026-08-25T00:07:07Z</dcterms:modified>
  <dc:language>en-US</dc:language>
</cp:coreProperties>
</file>