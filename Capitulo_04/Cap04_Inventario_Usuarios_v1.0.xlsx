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4- Identidades/Templates/"/>
    </mc:Choice>
  </mc:AlternateContent>
  <xr:revisionPtr revIDLastSave="1" documentId="11_7AB5A16DF61419BA88EADE7B075D1EA81E5FB4AF" xr6:coauthVersionLast="47" xr6:coauthVersionMax="47" xr10:uidLastSave="{D2493319-8840-49D5-93E2-E2871A7E3A8B}"/>
  <bookViews>
    <workbookView xWindow="3900" yWindow="1395" windowWidth="21600" windowHeight="11505" tabRatio="500" xr2:uid="{00000000-000D-0000-FFFF-FFFF00000000}"/>
  </bookViews>
  <sheets>
    <sheet name="Inventario Usuarios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2" l="1"/>
  <c r="B18" i="2"/>
  <c r="E17" i="2"/>
  <c r="F16" i="2"/>
  <c r="E16" i="2"/>
  <c r="B16" i="2"/>
  <c r="E15" i="2"/>
  <c r="E14" i="2"/>
  <c r="B14" i="2"/>
  <c r="B12" i="2"/>
  <c r="F10" i="2"/>
  <c r="B10" i="2"/>
  <c r="G9" i="2"/>
  <c r="F9" i="2"/>
  <c r="E9" i="2"/>
  <c r="F8" i="2"/>
  <c r="E8" i="2"/>
  <c r="B8" i="2"/>
  <c r="F7" i="2"/>
  <c r="E7" i="2"/>
  <c r="F6" i="2"/>
  <c r="E6" i="2"/>
  <c r="E10" i="2" s="1"/>
  <c r="B6" i="2"/>
  <c r="B4" i="2"/>
  <c r="F14" i="2" s="1"/>
  <c r="G7" i="2" l="1"/>
  <c r="G8" i="2"/>
  <c r="F15" i="2"/>
  <c r="G6" i="2"/>
  <c r="F17" i="2"/>
</calcChain>
</file>

<file path=xl/sharedStrings.xml><?xml version="1.0" encoding="utf-8"?>
<sst xmlns="http://schemas.openxmlformats.org/spreadsheetml/2006/main" count="286" uniqueCount="213">
  <si>
    <t>INVENTARIO DE USUARIOS — IDENTIDADES HUMANAS</t>
  </si>
  <si>
    <t>Capítulo 4 — Gestión de Identidades  |  [NOMBRE DE LA ORGANIZACIÓN]</t>
  </si>
  <si>
    <t>Versión:</t>
  </si>
  <si>
    <t>1.0</t>
  </si>
  <si>
    <t>Fecha actualización:</t>
  </si>
  <si>
    <t>[DD/MM/AAAA]</t>
  </si>
  <si>
    <t>Responsable:</t>
  </si>
  <si>
    <t>[Nombre del responsable de TI]</t>
  </si>
  <si>
    <t>ID Usuario</t>
  </si>
  <si>
    <t>Nombre de usuario
(username)</t>
  </si>
  <si>
    <t>Nombre completo</t>
  </si>
  <si>
    <t>Correo corporativo</t>
  </si>
  <si>
    <t>Tipo de usuario</t>
  </si>
  <si>
    <t>Perfil de cuenta</t>
  </si>
  <si>
    <t>Área / Departamento</t>
  </si>
  <si>
    <t>Cargo</t>
  </si>
  <si>
    <t>Responsable directo</t>
  </si>
  <si>
    <t>Fecha de creación</t>
  </si>
  <si>
    <t>Evento JML</t>
  </si>
  <si>
    <t>Gestor de contraseñas
habilitado</t>
  </si>
  <si>
    <t>MFA habilitado</t>
  </si>
  <si>
    <t>Último acceso</t>
  </si>
  <si>
    <t>Acceso remoto (VPN)</t>
  </si>
  <si>
    <t>Sistemas con acceso</t>
  </si>
  <si>
    <t>Revisión de privilegios
(última fecha)</t>
  </si>
  <si>
    <t>Estado</t>
  </si>
  <si>
    <t>Observaciones</t>
  </si>
  <si>
    <t>USR-001</t>
  </si>
  <si>
    <t>jperez</t>
  </si>
  <si>
    <t>Juan Pérez</t>
  </si>
  <si>
    <t>jperez@empresa.com</t>
  </si>
  <si>
    <t>Empleado</t>
  </si>
  <si>
    <t>Administrador</t>
  </si>
  <si>
    <t>TI</t>
  </si>
  <si>
    <t>Jefe de Sistemas</t>
  </si>
  <si>
    <t>Gerente General</t>
  </si>
  <si>
    <t>01/03/2023</t>
  </si>
  <si>
    <t>Joiner</t>
  </si>
  <si>
    <t>Sí</t>
  </si>
  <si>
    <t>15/05/2026</t>
  </si>
  <si>
    <t>AD, ERP, Servidor archivos, VPN, Wazuh</t>
  </si>
  <si>
    <t>01/04/2026</t>
  </si>
  <si>
    <t>Activo</t>
  </si>
  <si>
    <t>USR-002</t>
  </si>
  <si>
    <t>mlopez</t>
  </si>
  <si>
    <t>María López</t>
  </si>
  <si>
    <t>mlopez@empresa.com</t>
  </si>
  <si>
    <t>Normal</t>
  </si>
  <si>
    <t>Administración</t>
  </si>
  <si>
    <t>Contadora</t>
  </si>
  <si>
    <t>Gerente Administrativo</t>
  </si>
  <si>
    <t>10/06/2022</t>
  </si>
  <si>
    <t>14/05/2026</t>
  </si>
  <si>
    <t>No</t>
  </si>
  <si>
    <t>ERP (módulo contabilidad), Servidor archivos</t>
  </si>
  <si>
    <t>USR-003</t>
  </si>
  <si>
    <t>cruiz</t>
  </si>
  <si>
    <t>Carlos Ruiz</t>
  </si>
  <si>
    <t>cruiz@empresa.com</t>
  </si>
  <si>
    <t>Desarrollo</t>
  </si>
  <si>
    <t>Desarrollador Senior</t>
  </si>
  <si>
    <t>Jefe de TI</t>
  </si>
  <si>
    <t>15/01/2024</t>
  </si>
  <si>
    <t>13/05/2026</t>
  </si>
  <si>
    <t>GitHub, AWS, ERP (lectura), Servidor archivos</t>
  </si>
  <si>
    <t>USR-004</t>
  </si>
  <si>
    <t>recepcion</t>
  </si>
  <si>
    <t>Recepción</t>
  </si>
  <si>
    <t>recepcion@empresa.com</t>
  </si>
  <si>
    <t>Genérico</t>
  </si>
  <si>
    <t>Solo lectura</t>
  </si>
  <si>
    <t>(Cuenta genérica)</t>
  </si>
  <si>
    <t>20/09/2021</t>
  </si>
  <si>
    <t>10/05/2026</t>
  </si>
  <si>
    <t>ERP (solo lectura), Directorio telefónico</t>
  </si>
  <si>
    <t>N/A</t>
  </si>
  <si>
    <t>Cuenta genérica — revisar si requiere MFA</t>
  </si>
  <si>
    <t>USR-005</t>
  </si>
  <si>
    <t>aperez_ext</t>
  </si>
  <si>
    <t>Ana Pérez (externa)</t>
  </si>
  <si>
    <t>aperez@proveedores.com</t>
  </si>
  <si>
    <t>Contratista</t>
  </si>
  <si>
    <t>Logística</t>
  </si>
  <si>
    <t>Consultora de procesos</t>
  </si>
  <si>
    <t>Gerente de Logística</t>
  </si>
  <si>
    <t>01/02/2026</t>
  </si>
  <si>
    <t>12/05/2026</t>
  </si>
  <si>
    <t>ERP (módulo compras), Carpeta compartida proyecto</t>
  </si>
  <si>
    <t>Contrato vigente hasta 31/07/2026</t>
  </si>
  <si>
    <t>USR-006</t>
  </si>
  <si>
    <t>lgomez</t>
  </si>
  <si>
    <t>Luis Gómez</t>
  </si>
  <si>
    <t>lgomez@empresa.com</t>
  </si>
  <si>
    <t>Ventas</t>
  </si>
  <si>
    <t>Ejecutivo de ventas</t>
  </si>
  <si>
    <t>Gerente Comercial</t>
  </si>
  <si>
    <t>05/04/2020</t>
  </si>
  <si>
    <t>Leaver</t>
  </si>
  <si>
    <t>28/02/2026</t>
  </si>
  <si>
    <t>CRM, Servidor archivos</t>
  </si>
  <si>
    <t>Inactivo</t>
  </si>
  <si>
    <t>⚠ Desvinculado el 28/02/2026 — verificar eliminación completa</t>
  </si>
  <si>
    <t>USR-007</t>
  </si>
  <si>
    <t>bodega</t>
  </si>
  <si>
    <t>Bodega</t>
  </si>
  <si>
    <t>bodega@empresa.com</t>
  </si>
  <si>
    <t>Operaciones</t>
  </si>
  <si>
    <t>Jefe de Operaciones</t>
  </si>
  <si>
    <t>12/03/2019</t>
  </si>
  <si>
    <t>Sistema de inventarios</t>
  </si>
  <si>
    <t>Pendiente revisión</t>
  </si>
  <si>
    <t>Sin acceso reciente — verificar si sigue en uso</t>
  </si>
  <si>
    <t>USR-008</t>
  </si>
  <si>
    <t>USR-009</t>
  </si>
  <si>
    <t>USR-010</t>
  </si>
  <si>
    <t>USR-011</t>
  </si>
  <si>
    <t>USR-012</t>
  </si>
  <si>
    <t>USR-013</t>
  </si>
  <si>
    <t>⚠  Alertas: Estado = Inactivo/Eliminado → verificar desaprovisionamiento completo  |  MFA = No → habilitar con prioridad para cuentas con acceso a sistemas críticos  |  Gestor de contraseñas = No → enrolar al colaborador</t>
  </si>
  <si>
    <t>DASHBOARD — INVENTARIO DE USUARIOS</t>
  </si>
  <si>
    <t>Resumen automático del inventario  |  [NOMBRE DE LA ORGANIZACIÓN]</t>
  </si>
  <si>
    <t>Total usuarios registrados</t>
  </si>
  <si>
    <t>Distribución por Tipo de Usuario</t>
  </si>
  <si>
    <t>Tipo</t>
  </si>
  <si>
    <t>Total</t>
  </si>
  <si>
    <t>Activos</t>
  </si>
  <si>
    <t>% del total</t>
  </si>
  <si>
    <t>Usuarios activos</t>
  </si>
  <si>
    <t>Usuarios inactivos</t>
  </si>
  <si>
    <t>Pasante</t>
  </si>
  <si>
    <t>Pendientes de revisión</t>
  </si>
  <si>
    <t>TOTAL</t>
  </si>
  <si>
    <t>100.0%</t>
  </si>
  <si>
    <t>Sin MFA habilitado</t>
  </si>
  <si>
    <t>Distribución por Perfil de Cuenta</t>
  </si>
  <si>
    <t>Perfil</t>
  </si>
  <si>
    <t>Cantidad</t>
  </si>
  <si>
    <t>Sin gestor de contraseñas</t>
  </si>
  <si>
    <t>Cuentas administrativas</t>
  </si>
  <si>
    <t>Sin acceso</t>
  </si>
  <si>
    <t>Cuentas genéricas</t>
  </si>
  <si>
    <t>Contratistas con acceso activo</t>
  </si>
  <si>
    <t>INSTRUCTIVO DE USO — INVENTARIO DE USUARIOS</t>
  </si>
  <si>
    <t>Capítulo 4 — Gestión de Identidades y Accesos  |  Ciberprotección para PyMES</t>
  </si>
  <si>
    <t>COLUMNA</t>
  </si>
  <si>
    <t>CAMPO</t>
  </si>
  <si>
    <t>INSTRUCCIONES DE LLENADO</t>
  </si>
  <si>
    <t>A</t>
  </si>
  <si>
    <t>Identificador único del usuario. Formato sugerido: USR-001, USR-002. No modificar una vez asignado.</t>
  </si>
  <si>
    <t>B</t>
  </si>
  <si>
    <t>Nombre de usuario (username)</t>
  </si>
  <si>
    <t>Nombre de usuario exacto con el que accede al sistema (ej. jperez, maria.lopez). Debe coincidir con el registrado en el metadirectorio.</t>
  </si>
  <si>
    <t>C</t>
  </si>
  <si>
    <t>Nombre y apellido completos del colaborador.</t>
  </si>
  <si>
    <t>D</t>
  </si>
  <si>
    <t>Dirección de correo corporativo asignada. Para cuentas genéricas, registrar el correo asignado a esa función.</t>
  </si>
  <si>
    <t>E</t>
  </si>
  <si>
    <t>Seleccione: Empleado (planta), Contratista (externo con acceso temporal), Pasante, Genérico (Recepción, Bodega, etc.).</t>
  </si>
  <si>
    <t>F</t>
  </si>
  <si>
    <t>Seleccione: Administrador, Normal, Solo lectura, Sin acceso. Aplicar principio de mínimo privilegio.</t>
  </si>
  <si>
    <t>G</t>
  </si>
  <si>
    <t>Área o departamento al que pertenece el colaborador en el organigrama vigente.</t>
  </si>
  <si>
    <t>H</t>
  </si>
  <si>
    <t>Cargo oficial del colaborador según el contrato o el organigrama.</t>
  </si>
  <si>
    <t>I</t>
  </si>
  <si>
    <t>Nombre del jefe o responsable directo del colaborador.</t>
  </si>
  <si>
    <t>J</t>
  </si>
  <si>
    <t>Fecha en que se creó la cuenta. Formato DD/MM/AAAA.</t>
  </si>
  <si>
    <t>K</t>
  </si>
  <si>
    <t>Último evento del ciclo JML registrado para este usuario: Joiner (ingreso), Mover (cambio de rol), Leaver (desvinculación).</t>
  </si>
  <si>
    <t>L</t>
  </si>
  <si>
    <t>Gestor de contraseñas habilitado</t>
  </si>
  <si>
    <t>¿El colaborador está enrolado en el gestor de contraseñas corporativo? Si la respuesta es No, aparecerá resaltado en ámbar como pendiente.</t>
  </si>
  <si>
    <t>M</t>
  </si>
  <si>
    <t>¿El colaborador tiene el segundo factor de autenticación activo? Si la respuesta es No, aparecerá en ámbar. Priorizar habilitación en cuentas administrativas y con acceso remoto.</t>
  </si>
  <si>
    <t>N</t>
  </si>
  <si>
    <t>Fecha del último inicio de sesión registrado. Permite detectar cuentas sin actividad reciente. Formato DD/MM/AAAA o N/A.</t>
  </si>
  <si>
    <t>O</t>
  </si>
  <si>
    <t>¿El colaborador tiene acceso habilitado a la red corporativa por VPN? Sí / No.</t>
  </si>
  <si>
    <t>P</t>
  </si>
  <si>
    <t>Lista de sistemas y recursos a los que tiene acceso esta cuenta. Separar con coma. Debe actualizarse en cada evento Mover.</t>
  </si>
  <si>
    <t>Q</t>
  </si>
  <si>
    <t>Revisión de privilegios (última fecha)</t>
  </si>
  <si>
    <t>Fecha de la última auditoría de privilegios realizada para esta cuenta. Formato DD/MM/AAAA o N/A.</t>
  </si>
  <si>
    <t>R</t>
  </si>
  <si>
    <t>Seleccione el estado actual. El color cambia automáticamente: verde = Activo, rojo = Inactivo/Eliminado, ámbar = Pendiente revisión / Bloqueado.</t>
  </si>
  <si>
    <t>S</t>
  </si>
  <si>
    <t>Campo libre para alertas, notas de seguimiento o información relevante para la gestión de la cuenta.</t>
  </si>
  <si>
    <t>ESTADOS</t>
  </si>
  <si>
    <t>SIGNIFICADO</t>
  </si>
  <si>
    <t>ACCIÓN RECOMENDADA</t>
  </si>
  <si>
    <t>El usuario tiene acceso activo y su gestión está al día</t>
  </si>
  <si>
    <t>Mantener ciclo de revisión periódica</t>
  </si>
  <si>
    <t>El usuario ha sido desvinculado o su acceso fue suspendido</t>
  </si>
  <si>
    <t>Verificar que el desaprovisionamiento JML fue ejecutado completamente</t>
  </si>
  <si>
    <t>Bloqueado</t>
  </si>
  <si>
    <t>La cuenta fue bloqueada por intentos fallidos o por medida de seguridad</t>
  </si>
  <si>
    <t>Investigar causa del bloqueo antes de reactivar</t>
  </si>
  <si>
    <t>La cuenta requiere verificación o actualización de información</t>
  </si>
  <si>
    <t>Asignar responsable y fecha de revisión inmediata</t>
  </si>
  <si>
    <t>Eliminado</t>
  </si>
  <si>
    <t>La cuenta fue eliminada definitivamente del directorio</t>
  </si>
  <si>
    <t>Conservar el registro en el inventario por trazabilidad</t>
  </si>
  <si>
    <t>PERIODICIDAD</t>
  </si>
  <si>
    <t>ACTIVIDAD</t>
  </si>
  <si>
    <t>Mensual</t>
  </si>
  <si>
    <t>Revisar el inventario y actualizar estados. Detectar cuentas inactivas o sin responsable.</t>
  </si>
  <si>
    <t>Cruzar el inventario contra la nómina activa de RRHH para detectar cuentas de exempleados.</t>
  </si>
  <si>
    <t>Trimestral</t>
  </si>
  <si>
    <t>Auditar la columna 'Sistemas con acceso' para verificar que no existe privilege creep.</t>
  </si>
  <si>
    <t>Verificar que todos los usuarios con acceso a sistemas críticos tienen MFA habilitado.</t>
  </si>
  <si>
    <t>Anual</t>
  </si>
  <si>
    <t>Revisar y actualizar el inventario completo. Eliminar cuentas marcadas como Eliminado con más de 12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</si>
</sst>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i/>
      <sz val="9"/>
      <color rgb="FF5F5E5A"/>
      <name val="Calibri"/>
      <charset val="1"/>
    </font>
    <font>
      <b/>
      <sz val="10"/>
      <color rgb="FF185FA5"/>
      <name val="Calibri"/>
      <charset val="1"/>
    </font>
    <font>
      <sz val="10"/>
      <color rgb="FF1A1A1A"/>
      <name val="Calibri"/>
      <charset val="1"/>
    </font>
    <font>
      <b/>
      <sz val="10"/>
      <color rgb="FFFFFFFF"/>
      <name val="Calibri"/>
      <charset val="1"/>
    </font>
    <font>
      <sz val="9"/>
      <color rgb="FFBA7517"/>
      <name val="Calibri"/>
      <charset val="1"/>
    </font>
    <font>
      <b/>
      <sz val="14"/>
      <color rgb="FF185FA5"/>
      <name val="Calibri"/>
      <charset val="1"/>
    </font>
    <font>
      <b/>
      <sz val="10"/>
      <color rgb="FF3B6D11"/>
      <name val="Calibri"/>
      <charset val="1"/>
    </font>
    <font>
      <b/>
      <sz val="14"/>
      <color rgb="FF3B6D11"/>
      <name val="Calibri"/>
      <charset val="1"/>
    </font>
    <font>
      <b/>
      <sz val="10"/>
      <color rgb="FFA32D2D"/>
      <name val="Calibri"/>
      <charset val="1"/>
    </font>
    <font>
      <b/>
      <sz val="14"/>
      <color rgb="FFA32D2D"/>
      <name val="Calibri"/>
      <charset val="1"/>
    </font>
    <font>
      <b/>
      <sz val="10"/>
      <color rgb="FFBA7517"/>
      <name val="Calibri"/>
      <charset val="1"/>
    </font>
    <font>
      <b/>
      <sz val="14"/>
      <color rgb="FFBA7517"/>
      <name val="Calibri"/>
      <charset val="1"/>
    </font>
    <font>
      <b/>
      <sz val="10"/>
      <color rgb="FF5F5E5A"/>
      <name val="Calibri"/>
      <charset val="1"/>
    </font>
    <font>
      <b/>
      <sz val="14"/>
      <color rgb="FF5F5E5A"/>
      <name val="Calibri"/>
      <charset val="1"/>
    </font>
    <font>
      <sz val="9"/>
      <color rgb="FF1A1A1A"/>
      <name val="Calibri"/>
      <charset val="1"/>
    </font>
    <font>
      <b/>
      <sz val="9"/>
      <color rgb="FFFFFFF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5D4F4"/>
        <bgColor rgb="FF99CCFF"/>
      </patternFill>
    </fill>
    <fill>
      <patternFill patternType="solid">
        <fgColor rgb="FFEEF5FB"/>
        <bgColor rgb="FFEBF3E8"/>
      </patternFill>
    </fill>
    <fill>
      <patternFill patternType="solid">
        <fgColor rgb="FFFFFFFF"/>
        <bgColor rgb="FFEEF5FB"/>
      </patternFill>
    </fill>
    <fill>
      <patternFill patternType="solid">
        <fgColor rgb="FFFDF3E3"/>
        <bgColor rgb="FFFAECEC"/>
      </patternFill>
    </fill>
    <fill>
      <patternFill patternType="solid">
        <fgColor rgb="FF5F5E5A"/>
        <bgColor rgb="FF3B6D11"/>
      </patternFill>
    </fill>
    <fill>
      <patternFill patternType="solid">
        <fgColor rgb="FFEBF3E8"/>
        <bgColor rgb="FFEEF5FB"/>
      </patternFill>
    </fill>
    <fill>
      <patternFill patternType="solid">
        <fgColor rgb="FFFAECEC"/>
        <bgColor rgb="FFFDF3E3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7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0" fillId="4" borderId="0" xfId="0" applyFill="1"/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left" vertical="top" wrapText="1"/>
    </xf>
    <xf numFmtId="0" fontId="17" fillId="2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6">
    <dxf>
      <font>
        <b/>
        <sz val="10"/>
        <color rgb="FF3B6D11"/>
        <name val="Calibri"/>
        <charset val="1"/>
      </font>
      <fill>
        <patternFill>
          <bgColor rgb="FFEBF3E8"/>
        </patternFill>
      </fill>
    </dxf>
    <dxf>
      <font>
        <b/>
        <sz val="10"/>
        <color rgb="FFBA7517"/>
        <name val="Calibri"/>
        <charset val="1"/>
      </font>
      <fill>
        <patternFill>
          <bgColor rgb="FFFDF3E3"/>
        </patternFill>
      </fill>
    </dxf>
    <dxf>
      <font>
        <b/>
        <sz val="10"/>
        <color rgb="FFBA7517"/>
        <name val="Calibri"/>
        <charset val="1"/>
      </font>
      <fill>
        <patternFill>
          <bgColor rgb="FFFDF3E3"/>
        </patternFill>
      </fill>
    </dxf>
    <dxf>
      <font>
        <b/>
        <sz val="10"/>
        <color rgb="FFA32D2D"/>
        <name val="Calibri"/>
        <charset val="1"/>
      </font>
      <fill>
        <patternFill>
          <bgColor rgb="FFFAECEC"/>
        </patternFill>
      </fill>
    </dxf>
    <dxf>
      <font>
        <b/>
        <sz val="10"/>
        <color rgb="FFA32D2D"/>
        <name val="Calibri"/>
        <charset val="1"/>
      </font>
      <fill>
        <patternFill>
          <bgColor rgb="FFFAECEC"/>
        </patternFill>
      </fill>
    </dxf>
    <dxf>
      <font>
        <b/>
        <sz val="10"/>
        <color rgb="FFBA7517"/>
        <name val="Calibri"/>
        <charset val="1"/>
      </font>
      <fill>
        <patternFill>
          <bgColor rgb="FFFDF3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DF3E3"/>
      <rgbColor rgb="FFEEF5FB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E8"/>
      <rgbColor rgb="FFFAECE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showGridLines="0" tabSelected="1" zoomScaleNormal="100" workbookViewId="0">
      <pane ySplit="4" topLeftCell="A5" activePane="bottomLeft" state="frozen"/>
      <selection pane="bottomLeft" sqref="A1:S1"/>
    </sheetView>
  </sheetViews>
  <sheetFormatPr baseColWidth="10" defaultColWidth="8.7109375" defaultRowHeight="15" x14ac:dyDescent="0.25"/>
  <cols>
    <col min="1" max="1" width="8" customWidth="1"/>
    <col min="2" max="2" width="20" customWidth="1"/>
    <col min="3" max="3" width="24" customWidth="1"/>
    <col min="4" max="4" width="26" customWidth="1"/>
    <col min="5" max="5" width="18" customWidth="1"/>
    <col min="6" max="6" width="16" customWidth="1"/>
    <col min="7" max="8" width="20" customWidth="1"/>
    <col min="9" max="9" width="22" customWidth="1"/>
    <col min="10" max="10" width="14" customWidth="1"/>
    <col min="11" max="11" width="12" customWidth="1"/>
    <col min="12" max="12" width="14" customWidth="1"/>
    <col min="13" max="13" width="12" customWidth="1"/>
    <col min="14" max="15" width="14" customWidth="1"/>
    <col min="16" max="16" width="28" customWidth="1"/>
    <col min="17" max="17" width="16" customWidth="1"/>
    <col min="18" max="18" width="12" customWidth="1"/>
    <col min="19" max="19" width="28" customWidth="1"/>
  </cols>
  <sheetData>
    <row r="1" spans="1:19" ht="27.7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5.7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8" customHeight="1" x14ac:dyDescent="0.25">
      <c r="A3" s="6" t="s">
        <v>2</v>
      </c>
      <c r="B3" s="7" t="s">
        <v>3</v>
      </c>
      <c r="C3" s="6" t="s">
        <v>4</v>
      </c>
      <c r="D3" s="7" t="s">
        <v>5</v>
      </c>
      <c r="E3" s="6" t="s">
        <v>6</v>
      </c>
      <c r="F3" s="3" t="s">
        <v>7</v>
      </c>
      <c r="G3" s="3"/>
      <c r="H3" s="3"/>
      <c r="I3" s="3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36" customHeight="1" x14ac:dyDescent="0.25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17</v>
      </c>
      <c r="K4" s="9" t="s">
        <v>18</v>
      </c>
      <c r="L4" s="9" t="s">
        <v>19</v>
      </c>
      <c r="M4" s="9" t="s">
        <v>20</v>
      </c>
      <c r="N4" s="9" t="s">
        <v>21</v>
      </c>
      <c r="O4" s="9" t="s">
        <v>22</v>
      </c>
      <c r="P4" s="9" t="s">
        <v>23</v>
      </c>
      <c r="Q4" s="9" t="s">
        <v>24</v>
      </c>
      <c r="R4" s="9" t="s">
        <v>25</v>
      </c>
      <c r="S4" s="9" t="s">
        <v>26</v>
      </c>
    </row>
    <row r="5" spans="1:19" ht="27.75" customHeight="1" x14ac:dyDescent="0.25">
      <c r="A5" s="10" t="s">
        <v>27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32</v>
      </c>
      <c r="G5" s="10" t="s">
        <v>33</v>
      </c>
      <c r="H5" s="10" t="s">
        <v>34</v>
      </c>
      <c r="I5" s="10" t="s">
        <v>35</v>
      </c>
      <c r="J5" s="10" t="s">
        <v>36</v>
      </c>
      <c r="K5" s="10" t="s">
        <v>37</v>
      </c>
      <c r="L5" s="10" t="s">
        <v>38</v>
      </c>
      <c r="M5" s="10" t="s">
        <v>38</v>
      </c>
      <c r="N5" s="10" t="s">
        <v>39</v>
      </c>
      <c r="O5" s="10" t="s">
        <v>38</v>
      </c>
      <c r="P5" s="10" t="s">
        <v>40</v>
      </c>
      <c r="Q5" s="10" t="s">
        <v>41</v>
      </c>
      <c r="R5" s="10" t="s">
        <v>42</v>
      </c>
      <c r="S5" s="10"/>
    </row>
    <row r="6" spans="1:19" ht="27.75" customHeight="1" x14ac:dyDescent="0.25">
      <c r="A6" s="11" t="s">
        <v>43</v>
      </c>
      <c r="B6" s="11" t="s">
        <v>44</v>
      </c>
      <c r="C6" s="11" t="s">
        <v>45</v>
      </c>
      <c r="D6" s="11" t="s">
        <v>46</v>
      </c>
      <c r="E6" s="11" t="s">
        <v>31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37</v>
      </c>
      <c r="L6" s="11" t="s">
        <v>38</v>
      </c>
      <c r="M6" s="11" t="s">
        <v>38</v>
      </c>
      <c r="N6" s="11" t="s">
        <v>52</v>
      </c>
      <c r="O6" s="11" t="s">
        <v>53</v>
      </c>
      <c r="P6" s="11" t="s">
        <v>54</v>
      </c>
      <c r="Q6" s="11" t="s">
        <v>41</v>
      </c>
      <c r="R6" s="11" t="s">
        <v>42</v>
      </c>
      <c r="S6" s="11"/>
    </row>
    <row r="7" spans="1:19" ht="27.75" customHeight="1" x14ac:dyDescent="0.25">
      <c r="A7" s="10" t="s">
        <v>55</v>
      </c>
      <c r="B7" s="10" t="s">
        <v>56</v>
      </c>
      <c r="C7" s="10" t="s">
        <v>57</v>
      </c>
      <c r="D7" s="10" t="s">
        <v>58</v>
      </c>
      <c r="E7" s="10" t="s">
        <v>31</v>
      </c>
      <c r="F7" s="10" t="s">
        <v>47</v>
      </c>
      <c r="G7" s="10" t="s">
        <v>59</v>
      </c>
      <c r="H7" s="10" t="s">
        <v>60</v>
      </c>
      <c r="I7" s="10" t="s">
        <v>61</v>
      </c>
      <c r="J7" s="10" t="s">
        <v>62</v>
      </c>
      <c r="K7" s="10" t="s">
        <v>37</v>
      </c>
      <c r="L7" s="10" t="s">
        <v>38</v>
      </c>
      <c r="M7" s="10" t="s">
        <v>38</v>
      </c>
      <c r="N7" s="10" t="s">
        <v>63</v>
      </c>
      <c r="O7" s="10" t="s">
        <v>38</v>
      </c>
      <c r="P7" s="10" t="s">
        <v>64</v>
      </c>
      <c r="Q7" s="10" t="s">
        <v>41</v>
      </c>
      <c r="R7" s="10" t="s">
        <v>42</v>
      </c>
      <c r="S7" s="10"/>
    </row>
    <row r="8" spans="1:19" ht="27.75" customHeight="1" x14ac:dyDescent="0.25">
      <c r="A8" s="11" t="s">
        <v>65</v>
      </c>
      <c r="B8" s="11" t="s">
        <v>66</v>
      </c>
      <c r="C8" s="11" t="s">
        <v>67</v>
      </c>
      <c r="D8" s="11" t="s">
        <v>68</v>
      </c>
      <c r="E8" s="11" t="s">
        <v>69</v>
      </c>
      <c r="F8" s="11" t="s">
        <v>70</v>
      </c>
      <c r="G8" s="11" t="s">
        <v>48</v>
      </c>
      <c r="H8" s="11" t="s">
        <v>71</v>
      </c>
      <c r="I8" s="11" t="s">
        <v>61</v>
      </c>
      <c r="J8" s="11" t="s">
        <v>72</v>
      </c>
      <c r="K8" s="11" t="s">
        <v>37</v>
      </c>
      <c r="L8" s="11" t="s">
        <v>53</v>
      </c>
      <c r="M8" s="11" t="s">
        <v>53</v>
      </c>
      <c r="N8" s="11" t="s">
        <v>73</v>
      </c>
      <c r="O8" s="11" t="s">
        <v>53</v>
      </c>
      <c r="P8" s="11" t="s">
        <v>74</v>
      </c>
      <c r="Q8" s="11" t="s">
        <v>75</v>
      </c>
      <c r="R8" s="11" t="s">
        <v>42</v>
      </c>
      <c r="S8" s="11" t="s">
        <v>76</v>
      </c>
    </row>
    <row r="9" spans="1:19" ht="27.75" customHeight="1" x14ac:dyDescent="0.25">
      <c r="A9" s="10" t="s">
        <v>77</v>
      </c>
      <c r="B9" s="10" t="s">
        <v>78</v>
      </c>
      <c r="C9" s="10" t="s">
        <v>79</v>
      </c>
      <c r="D9" s="10" t="s">
        <v>80</v>
      </c>
      <c r="E9" s="10" t="s">
        <v>81</v>
      </c>
      <c r="F9" s="10" t="s">
        <v>47</v>
      </c>
      <c r="G9" s="10" t="s">
        <v>82</v>
      </c>
      <c r="H9" s="10" t="s">
        <v>83</v>
      </c>
      <c r="I9" s="10" t="s">
        <v>84</v>
      </c>
      <c r="J9" s="10" t="s">
        <v>85</v>
      </c>
      <c r="K9" s="10" t="s">
        <v>37</v>
      </c>
      <c r="L9" s="10" t="s">
        <v>38</v>
      </c>
      <c r="M9" s="10" t="s">
        <v>38</v>
      </c>
      <c r="N9" s="10" t="s">
        <v>86</v>
      </c>
      <c r="O9" s="10" t="s">
        <v>53</v>
      </c>
      <c r="P9" s="10" t="s">
        <v>87</v>
      </c>
      <c r="Q9" s="10" t="s">
        <v>41</v>
      </c>
      <c r="R9" s="10" t="s">
        <v>42</v>
      </c>
      <c r="S9" s="10" t="s">
        <v>88</v>
      </c>
    </row>
    <row r="10" spans="1:19" ht="27.75" customHeight="1" x14ac:dyDescent="0.25">
      <c r="A10" s="11" t="s">
        <v>89</v>
      </c>
      <c r="B10" s="11" t="s">
        <v>90</v>
      </c>
      <c r="C10" s="11" t="s">
        <v>91</v>
      </c>
      <c r="D10" s="11" t="s">
        <v>92</v>
      </c>
      <c r="E10" s="11" t="s">
        <v>31</v>
      </c>
      <c r="F10" s="11" t="s">
        <v>47</v>
      </c>
      <c r="G10" s="11" t="s">
        <v>93</v>
      </c>
      <c r="H10" s="11" t="s">
        <v>94</v>
      </c>
      <c r="I10" s="11" t="s">
        <v>95</v>
      </c>
      <c r="J10" s="11" t="s">
        <v>96</v>
      </c>
      <c r="K10" s="11" t="s">
        <v>97</v>
      </c>
      <c r="L10" s="11" t="s">
        <v>38</v>
      </c>
      <c r="M10" s="11" t="s">
        <v>38</v>
      </c>
      <c r="N10" s="11" t="s">
        <v>98</v>
      </c>
      <c r="O10" s="11" t="s">
        <v>53</v>
      </c>
      <c r="P10" s="11" t="s">
        <v>99</v>
      </c>
      <c r="Q10" s="11" t="s">
        <v>75</v>
      </c>
      <c r="R10" s="11" t="s">
        <v>100</v>
      </c>
      <c r="S10" s="11" t="s">
        <v>101</v>
      </c>
    </row>
    <row r="11" spans="1:19" ht="27.75" customHeight="1" x14ac:dyDescent="0.25">
      <c r="A11" s="10" t="s">
        <v>102</v>
      </c>
      <c r="B11" s="10" t="s">
        <v>103</v>
      </c>
      <c r="C11" s="10" t="s">
        <v>104</v>
      </c>
      <c r="D11" s="10" t="s">
        <v>105</v>
      </c>
      <c r="E11" s="10" t="s">
        <v>69</v>
      </c>
      <c r="F11" s="10" t="s">
        <v>47</v>
      </c>
      <c r="G11" s="10" t="s">
        <v>106</v>
      </c>
      <c r="H11" s="10" t="s">
        <v>71</v>
      </c>
      <c r="I11" s="10" t="s">
        <v>107</v>
      </c>
      <c r="J11" s="10" t="s">
        <v>108</v>
      </c>
      <c r="K11" s="10" t="s">
        <v>37</v>
      </c>
      <c r="L11" s="10" t="s">
        <v>53</v>
      </c>
      <c r="M11" s="10" t="s">
        <v>53</v>
      </c>
      <c r="N11" s="10" t="s">
        <v>75</v>
      </c>
      <c r="O11" s="10" t="s">
        <v>53</v>
      </c>
      <c r="P11" s="10" t="s">
        <v>109</v>
      </c>
      <c r="Q11" s="10" t="s">
        <v>75</v>
      </c>
      <c r="R11" s="10" t="s">
        <v>110</v>
      </c>
      <c r="S11" s="10" t="s">
        <v>111</v>
      </c>
    </row>
    <row r="12" spans="1:19" ht="21.75" customHeight="1" x14ac:dyDescent="0.25">
      <c r="A12" s="10" t="s">
        <v>112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ht="21.75" customHeight="1" x14ac:dyDescent="0.25">
      <c r="A13" s="11" t="s">
        <v>113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ht="21.75" customHeight="1" x14ac:dyDescent="0.25">
      <c r="A14" s="10" t="s">
        <v>114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21.75" customHeight="1" x14ac:dyDescent="0.25">
      <c r="A15" s="11" t="s">
        <v>115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ht="21.75" customHeight="1" x14ac:dyDescent="0.25">
      <c r="A16" s="10" t="s">
        <v>116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21.75" customHeight="1" x14ac:dyDescent="0.25">
      <c r="A17" s="11" t="s">
        <v>117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9" spans="1:19" ht="19.5" customHeight="1" x14ac:dyDescent="0.25">
      <c r="A19" s="2" t="s">
        <v>118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</sheetData>
  <mergeCells count="4">
    <mergeCell ref="A1:S1"/>
    <mergeCell ref="A2:S2"/>
    <mergeCell ref="F3:I3"/>
    <mergeCell ref="A19:S19"/>
  </mergeCells>
  <conditionalFormatting sqref="L5:M17">
    <cfRule type="cellIs" dxfId="5" priority="7" operator="equal">
      <formula>"No"</formula>
    </cfRule>
  </conditionalFormatting>
  <conditionalFormatting sqref="R5:R17">
    <cfRule type="cellIs" dxfId="4" priority="2" operator="equal">
      <formula>"Inactivo"</formula>
    </cfRule>
    <cfRule type="cellIs" dxfId="3" priority="3" operator="equal">
      <formula>"Eliminado"</formula>
    </cfRule>
    <cfRule type="cellIs" dxfId="2" priority="4" operator="equal">
      <formula>"Pendiente revisión"</formula>
    </cfRule>
    <cfRule type="cellIs" dxfId="1" priority="5" operator="equal">
      <formula>"Bloqueado"</formula>
    </cfRule>
    <cfRule type="cellIs" dxfId="0" priority="6" operator="equal">
      <formula>"Activo"</formula>
    </cfRule>
  </conditionalFormatting>
  <dataValidations count="7">
    <dataValidation type="list" allowBlank="1" promptTitle="Tipo de usuario" sqref="E5:E17" xr:uid="{00000000-0002-0000-0000-000000000000}">
      <formula1>"Empleado,Contratista,Pasante,Genérico"</formula1>
      <formula2>0</formula2>
    </dataValidation>
    <dataValidation type="list" allowBlank="1" promptTitle="Perfil de cuenta" sqref="F5:F17" xr:uid="{00000000-0002-0000-0000-000001000000}">
      <formula1>"Administrador,Normal,Solo lectura,Sin acceso"</formula1>
      <formula2>0</formula2>
    </dataValidation>
    <dataValidation type="list" allowBlank="1" promptTitle="Evento JML" sqref="K5:K17" xr:uid="{00000000-0002-0000-0000-000002000000}">
      <formula1>"Joiner,Mover,Leaver"</formula1>
      <formula2>0</formula2>
    </dataValidation>
    <dataValidation type="list" allowBlank="1" promptTitle="Gestor de contraseñas" sqref="L5:L17" xr:uid="{00000000-0002-0000-0000-000003000000}">
      <formula1>"Sí,No"</formula1>
      <formula2>0</formula2>
    </dataValidation>
    <dataValidation type="list" allowBlank="1" promptTitle="MFA" sqref="M5:M17" xr:uid="{00000000-0002-0000-0000-000004000000}">
      <formula1>"Sí,No"</formula1>
      <formula2>0</formula2>
    </dataValidation>
    <dataValidation type="list" allowBlank="1" promptTitle="Acceso remoto" sqref="O5:O17" xr:uid="{00000000-0002-0000-0000-000005000000}">
      <formula1>"Sí,No"</formula1>
      <formula2>0</formula2>
    </dataValidation>
    <dataValidation type="list" allowBlank="1" promptTitle="Estado" sqref="R5:R17" xr:uid="{00000000-0002-0000-0000-000006000000}">
      <formula1>"Activo,Inactivo,Bloqueado,Pendiente revisión,Eliminado"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showGridLines="0" zoomScaleNormal="100" workbookViewId="0"/>
  </sheetViews>
  <sheetFormatPr baseColWidth="10" defaultColWidth="8.7109375" defaultRowHeight="15" x14ac:dyDescent="0.25"/>
  <cols>
    <col min="1" max="1" width="32" customWidth="1"/>
    <col min="2" max="2" width="12" customWidth="1"/>
    <col min="3" max="3" width="4" customWidth="1"/>
    <col min="4" max="4" width="22" customWidth="1"/>
    <col min="5" max="6" width="12" customWidth="1"/>
    <col min="7" max="7" width="14" customWidth="1"/>
    <col min="8" max="10" width="4" customWidth="1"/>
  </cols>
  <sheetData>
    <row r="1" spans="1:10" ht="27.75" customHeight="1" x14ac:dyDescent="0.25">
      <c r="A1" s="5" t="s">
        <v>119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 customHeight="1" x14ac:dyDescent="0.25">
      <c r="A2" s="4" t="s">
        <v>120</v>
      </c>
      <c r="B2" s="4"/>
      <c r="C2" s="4"/>
      <c r="D2" s="4"/>
      <c r="E2" s="4"/>
      <c r="F2" s="4"/>
      <c r="G2" s="4"/>
      <c r="H2" s="4"/>
      <c r="I2" s="4"/>
      <c r="J2" s="4"/>
    </row>
    <row r="3" spans="1:10" ht="9.75" customHeight="1" x14ac:dyDescent="0.25"/>
    <row r="4" spans="1:10" ht="21.75" customHeight="1" x14ac:dyDescent="0.25">
      <c r="A4" s="12" t="s">
        <v>121</v>
      </c>
      <c r="B4" s="13">
        <f>COUNTA('Inventario Usuarios'!A5:A17)</f>
        <v>13</v>
      </c>
      <c r="D4" s="1" t="s">
        <v>122</v>
      </c>
      <c r="E4" s="1"/>
      <c r="F4" s="1"/>
      <c r="G4" s="1"/>
    </row>
    <row r="5" spans="1:10" x14ac:dyDescent="0.25">
      <c r="D5" s="14" t="s">
        <v>123</v>
      </c>
      <c r="E5" s="14" t="s">
        <v>124</v>
      </c>
      <c r="F5" s="14" t="s">
        <v>125</v>
      </c>
      <c r="G5" s="14" t="s">
        <v>126</v>
      </c>
    </row>
    <row r="6" spans="1:10" ht="21.75" customHeight="1" x14ac:dyDescent="0.25">
      <c r="A6" s="15" t="s">
        <v>127</v>
      </c>
      <c r="B6" s="16">
        <f>COUNTIF('Inventario Usuarios'!R5:R17,"Activo")</f>
        <v>5</v>
      </c>
      <c r="D6" s="17" t="s">
        <v>31</v>
      </c>
      <c r="E6" s="18">
        <f>COUNTIF('Inventario Usuarios'!E5:E17,"Empleado")</f>
        <v>4</v>
      </c>
      <c r="F6" s="18">
        <f>COUNTIFS('Inventario Usuarios'!E5:E17,"Empleado",'Inventario Usuarios'!R5:R17,"Activo")</f>
        <v>3</v>
      </c>
      <c r="G6" s="19">
        <f>IF(B4=0,0,E6/B4)</f>
        <v>0.30769230769230771</v>
      </c>
    </row>
    <row r="7" spans="1:10" x14ac:dyDescent="0.25">
      <c r="D7" s="20" t="s">
        <v>81</v>
      </c>
      <c r="E7" s="21">
        <f>COUNTIF('Inventario Usuarios'!E5:E17,"Contratista")</f>
        <v>1</v>
      </c>
      <c r="F7" s="21">
        <f>COUNTIFS('Inventario Usuarios'!E5:E17,"Contratista",'Inventario Usuarios'!R5:R17,"Activo")</f>
        <v>1</v>
      </c>
      <c r="G7" s="22">
        <f>IF(B4=0,0,E7/B4)</f>
        <v>7.6923076923076927E-2</v>
      </c>
    </row>
    <row r="8" spans="1:10" ht="21.75" customHeight="1" x14ac:dyDescent="0.25">
      <c r="A8" s="23" t="s">
        <v>128</v>
      </c>
      <c r="B8" s="24">
        <f>COUNTIF('Inventario Usuarios'!R5:R17,"Inactivo")</f>
        <v>1</v>
      </c>
      <c r="D8" s="17" t="s">
        <v>129</v>
      </c>
      <c r="E8" s="18">
        <f>COUNTIF('Inventario Usuarios'!E5:E17,"Pasante")</f>
        <v>0</v>
      </c>
      <c r="F8" s="18">
        <f>COUNTIFS('Inventario Usuarios'!E5:E17,"Pasante",'Inventario Usuarios'!R5:R17,"Activo")</f>
        <v>0</v>
      </c>
      <c r="G8" s="19">
        <f>IF(B4=0,0,E8/B4)</f>
        <v>0</v>
      </c>
    </row>
    <row r="9" spans="1:10" x14ac:dyDescent="0.25">
      <c r="D9" s="20" t="s">
        <v>69</v>
      </c>
      <c r="E9" s="21">
        <f>COUNTIF('Inventario Usuarios'!E5:E17,"Genérico")</f>
        <v>2</v>
      </c>
      <c r="F9" s="21">
        <f>COUNTIFS('Inventario Usuarios'!E5:E17,"Genérico",'Inventario Usuarios'!R5:R17,"Activo")</f>
        <v>1</v>
      </c>
      <c r="G9" s="22">
        <f>IF(B4=0,0,E9/B4)</f>
        <v>0.15384615384615385</v>
      </c>
    </row>
    <row r="10" spans="1:10" ht="21.75" customHeight="1" x14ac:dyDescent="0.25">
      <c r="A10" s="25" t="s">
        <v>130</v>
      </c>
      <c r="B10" s="26">
        <f>COUNTIF('Inventario Usuarios'!R5:R17,"Pendiente revisión")</f>
        <v>1</v>
      </c>
      <c r="D10" s="27" t="s">
        <v>131</v>
      </c>
      <c r="E10" s="27">
        <f>SUM(E6:E9)</f>
        <v>7</v>
      </c>
      <c r="F10" s="27">
        <f>SUM(F6:F9)</f>
        <v>5</v>
      </c>
      <c r="G10" s="27" t="s">
        <v>132</v>
      </c>
    </row>
    <row r="12" spans="1:10" ht="21.75" customHeight="1" x14ac:dyDescent="0.25">
      <c r="A12" s="25" t="s">
        <v>133</v>
      </c>
      <c r="B12" s="26">
        <f>COUNTIF('Inventario Usuarios'!M5:M17,"No")</f>
        <v>2</v>
      </c>
      <c r="D12" s="1" t="s">
        <v>134</v>
      </c>
      <c r="E12" s="1"/>
      <c r="F12" s="1"/>
      <c r="G12" s="1"/>
    </row>
    <row r="13" spans="1:10" x14ac:dyDescent="0.25">
      <c r="D13" s="14" t="s">
        <v>135</v>
      </c>
      <c r="E13" s="14" t="s">
        <v>136</v>
      </c>
      <c r="F13" s="14" t="s">
        <v>126</v>
      </c>
      <c r="G13" s="14"/>
    </row>
    <row r="14" spans="1:10" ht="19.5" customHeight="1" x14ac:dyDescent="0.25">
      <c r="A14" s="25" t="s">
        <v>137</v>
      </c>
      <c r="B14" s="26">
        <f>COUNTIF('Inventario Usuarios'!L5:L17,"No")</f>
        <v>2</v>
      </c>
      <c r="D14" s="23" t="s">
        <v>32</v>
      </c>
      <c r="E14" s="28">
        <f>COUNTIF('Inventario Usuarios'!F5:F17,"Administrador")</f>
        <v>1</v>
      </c>
      <c r="F14" s="29">
        <f>IF(B4=0,0,E14/B4)</f>
        <v>7.6923076923076927E-2</v>
      </c>
      <c r="G14" s="28"/>
    </row>
    <row r="15" spans="1:10" ht="19.5" customHeight="1" x14ac:dyDescent="0.25">
      <c r="D15" s="15" t="s">
        <v>47</v>
      </c>
      <c r="E15" s="30">
        <f>COUNTIF('Inventario Usuarios'!F5:F17,"Normal")</f>
        <v>5</v>
      </c>
      <c r="F15" s="31">
        <f>IF(B4=0,0,E15/B4)</f>
        <v>0.38461538461538464</v>
      </c>
      <c r="G15" s="30"/>
    </row>
    <row r="16" spans="1:10" ht="19.5" customHeight="1" x14ac:dyDescent="0.25">
      <c r="A16" s="23" t="s">
        <v>138</v>
      </c>
      <c r="B16" s="24">
        <f>COUNTIF('Inventario Usuarios'!F5:F17,"Administrador")</f>
        <v>1</v>
      </c>
      <c r="D16" s="12" t="s">
        <v>70</v>
      </c>
      <c r="E16" s="32">
        <f>COUNTIF('Inventario Usuarios'!F5:F17,"Solo lectura")</f>
        <v>1</v>
      </c>
      <c r="F16" s="33">
        <f>IF(B4=0,0,E16/B4)</f>
        <v>7.6923076923076927E-2</v>
      </c>
      <c r="G16" s="32"/>
    </row>
    <row r="17" spans="1:7" ht="19.5" customHeight="1" x14ac:dyDescent="0.25">
      <c r="D17" s="34" t="s">
        <v>139</v>
      </c>
      <c r="E17" s="35">
        <f>COUNTIF('Inventario Usuarios'!F5:F17,"Sin acceso")</f>
        <v>0</v>
      </c>
      <c r="F17" s="36">
        <f>IF(B4=0,0,E17/B4)</f>
        <v>0</v>
      </c>
      <c r="G17" s="35"/>
    </row>
    <row r="18" spans="1:7" ht="21.75" customHeight="1" x14ac:dyDescent="0.25">
      <c r="A18" s="34" t="s">
        <v>140</v>
      </c>
      <c r="B18" s="37">
        <f>COUNTIF('Inventario Usuarios'!E5:E17,"Genérico")</f>
        <v>2</v>
      </c>
    </row>
    <row r="20" spans="1:7" ht="21.75" customHeight="1" x14ac:dyDescent="0.25">
      <c r="A20" s="25" t="s">
        <v>141</v>
      </c>
      <c r="B20" s="26">
        <f>COUNTIFS('Inventario Usuarios'!E5:E17,"Contratista",'Inventario Usuarios'!R5:R17,"Activo")</f>
        <v>1</v>
      </c>
    </row>
  </sheetData>
  <mergeCells count="4">
    <mergeCell ref="A1:J1"/>
    <mergeCell ref="A2:J2"/>
    <mergeCell ref="D4:G4"/>
    <mergeCell ref="D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showGridLines="0" zoomScaleNormal="100" workbookViewId="0"/>
  </sheetViews>
  <sheetFormatPr baseColWidth="10" defaultColWidth="8.7109375" defaultRowHeight="15" x14ac:dyDescent="0.25"/>
  <cols>
    <col min="1" max="1" width="18" customWidth="1"/>
    <col min="2" max="2" width="24" customWidth="1"/>
    <col min="3" max="3" width="60" customWidth="1"/>
  </cols>
  <sheetData>
    <row r="1" spans="1:5" ht="27.75" customHeight="1" x14ac:dyDescent="0.25">
      <c r="A1" s="5" t="s">
        <v>142</v>
      </c>
      <c r="B1" s="5"/>
      <c r="C1" s="5"/>
      <c r="D1" s="5"/>
      <c r="E1" s="5"/>
    </row>
    <row r="2" spans="1:5" ht="15.75" customHeight="1" x14ac:dyDescent="0.25">
      <c r="A2" s="4" t="s">
        <v>143</v>
      </c>
      <c r="B2" s="4"/>
      <c r="C2" s="4"/>
      <c r="D2" s="4"/>
      <c r="E2" s="4"/>
    </row>
    <row r="3" spans="1:5" ht="18" customHeight="1" x14ac:dyDescent="0.25">
      <c r="A3" s="38"/>
      <c r="B3" s="38"/>
      <c r="C3" s="38"/>
    </row>
    <row r="4" spans="1:5" ht="18" customHeight="1" x14ac:dyDescent="0.25">
      <c r="A4" s="39" t="s">
        <v>144</v>
      </c>
      <c r="B4" s="39" t="s">
        <v>145</v>
      </c>
      <c r="C4" s="39" t="s">
        <v>146</v>
      </c>
    </row>
    <row r="5" spans="1:5" ht="31.5" customHeight="1" x14ac:dyDescent="0.25">
      <c r="A5" s="40" t="s">
        <v>147</v>
      </c>
      <c r="B5" s="40" t="s">
        <v>8</v>
      </c>
      <c r="C5" s="40" t="s">
        <v>148</v>
      </c>
    </row>
    <row r="6" spans="1:5" ht="31.5" customHeight="1" x14ac:dyDescent="0.25">
      <c r="A6" s="41" t="s">
        <v>149</v>
      </c>
      <c r="B6" s="41" t="s">
        <v>150</v>
      </c>
      <c r="C6" s="41" t="s">
        <v>151</v>
      </c>
    </row>
    <row r="7" spans="1:5" ht="18" customHeight="1" x14ac:dyDescent="0.25">
      <c r="A7" s="40" t="s">
        <v>152</v>
      </c>
      <c r="B7" s="40" t="s">
        <v>10</v>
      </c>
      <c r="C7" s="40" t="s">
        <v>153</v>
      </c>
    </row>
    <row r="8" spans="1:5" ht="31.5" customHeight="1" x14ac:dyDescent="0.25">
      <c r="A8" s="41" t="s">
        <v>154</v>
      </c>
      <c r="B8" s="41" t="s">
        <v>11</v>
      </c>
      <c r="C8" s="41" t="s">
        <v>155</v>
      </c>
    </row>
    <row r="9" spans="1:5" ht="31.5" customHeight="1" x14ac:dyDescent="0.25">
      <c r="A9" s="40" t="s">
        <v>156</v>
      </c>
      <c r="B9" s="40" t="s">
        <v>12</v>
      </c>
      <c r="C9" s="40" t="s">
        <v>157</v>
      </c>
    </row>
    <row r="10" spans="1:5" ht="31.5" customHeight="1" x14ac:dyDescent="0.25">
      <c r="A10" s="41" t="s">
        <v>158</v>
      </c>
      <c r="B10" s="41" t="s">
        <v>13</v>
      </c>
      <c r="C10" s="41" t="s">
        <v>159</v>
      </c>
    </row>
    <row r="11" spans="1:5" ht="18" customHeight="1" x14ac:dyDescent="0.25">
      <c r="A11" s="40" t="s">
        <v>160</v>
      </c>
      <c r="B11" s="40" t="s">
        <v>14</v>
      </c>
      <c r="C11" s="40" t="s">
        <v>161</v>
      </c>
    </row>
    <row r="12" spans="1:5" ht="18" customHeight="1" x14ac:dyDescent="0.25">
      <c r="A12" s="41" t="s">
        <v>162</v>
      </c>
      <c r="B12" s="41" t="s">
        <v>15</v>
      </c>
      <c r="C12" s="41" t="s">
        <v>163</v>
      </c>
    </row>
    <row r="13" spans="1:5" ht="18" customHeight="1" x14ac:dyDescent="0.25">
      <c r="A13" s="40" t="s">
        <v>164</v>
      </c>
      <c r="B13" s="40" t="s">
        <v>16</v>
      </c>
      <c r="C13" s="40" t="s">
        <v>165</v>
      </c>
    </row>
    <row r="14" spans="1:5" ht="18" customHeight="1" x14ac:dyDescent="0.25">
      <c r="A14" s="41" t="s">
        <v>166</v>
      </c>
      <c r="B14" s="41" t="s">
        <v>17</v>
      </c>
      <c r="C14" s="41" t="s">
        <v>167</v>
      </c>
    </row>
    <row r="15" spans="1:5" ht="31.5" customHeight="1" x14ac:dyDescent="0.25">
      <c r="A15" s="40" t="s">
        <v>168</v>
      </c>
      <c r="B15" s="40" t="s">
        <v>18</v>
      </c>
      <c r="C15" s="40" t="s">
        <v>169</v>
      </c>
    </row>
    <row r="16" spans="1:5" ht="31.5" customHeight="1" x14ac:dyDescent="0.25">
      <c r="A16" s="41" t="s">
        <v>170</v>
      </c>
      <c r="B16" s="41" t="s">
        <v>171</v>
      </c>
      <c r="C16" s="41" t="s">
        <v>172</v>
      </c>
    </row>
    <row r="17" spans="1:3" ht="31.5" customHeight="1" x14ac:dyDescent="0.25">
      <c r="A17" s="40" t="s">
        <v>173</v>
      </c>
      <c r="B17" s="40" t="s">
        <v>20</v>
      </c>
      <c r="C17" s="40" t="s">
        <v>174</v>
      </c>
    </row>
    <row r="18" spans="1:3" ht="31.5" customHeight="1" x14ac:dyDescent="0.25">
      <c r="A18" s="41" t="s">
        <v>175</v>
      </c>
      <c r="B18" s="41" t="s">
        <v>21</v>
      </c>
      <c r="C18" s="41" t="s">
        <v>176</v>
      </c>
    </row>
    <row r="19" spans="1:3" ht="18" customHeight="1" x14ac:dyDescent="0.25">
      <c r="A19" s="40" t="s">
        <v>177</v>
      </c>
      <c r="B19" s="40" t="s">
        <v>22</v>
      </c>
      <c r="C19" s="40" t="s">
        <v>178</v>
      </c>
    </row>
    <row r="20" spans="1:3" ht="31.5" customHeight="1" x14ac:dyDescent="0.25">
      <c r="A20" s="41" t="s">
        <v>179</v>
      </c>
      <c r="B20" s="41" t="s">
        <v>23</v>
      </c>
      <c r="C20" s="41" t="s">
        <v>180</v>
      </c>
    </row>
    <row r="21" spans="1:3" ht="31.5" customHeight="1" x14ac:dyDescent="0.25">
      <c r="A21" s="40" t="s">
        <v>181</v>
      </c>
      <c r="B21" s="40" t="s">
        <v>182</v>
      </c>
      <c r="C21" s="40" t="s">
        <v>183</v>
      </c>
    </row>
    <row r="22" spans="1:3" ht="31.5" customHeight="1" x14ac:dyDescent="0.25">
      <c r="A22" s="41" t="s">
        <v>184</v>
      </c>
      <c r="B22" s="41" t="s">
        <v>25</v>
      </c>
      <c r="C22" s="41" t="s">
        <v>185</v>
      </c>
    </row>
    <row r="23" spans="1:3" ht="31.5" customHeight="1" x14ac:dyDescent="0.25">
      <c r="A23" s="40" t="s">
        <v>186</v>
      </c>
      <c r="B23" s="40" t="s">
        <v>26</v>
      </c>
      <c r="C23" s="40" t="s">
        <v>187</v>
      </c>
    </row>
    <row r="24" spans="1:3" ht="18" customHeight="1" x14ac:dyDescent="0.25">
      <c r="A24" s="38"/>
      <c r="B24" s="38"/>
      <c r="C24" s="38"/>
    </row>
    <row r="25" spans="1:3" ht="18" customHeight="1" x14ac:dyDescent="0.25">
      <c r="A25" s="39" t="s">
        <v>188</v>
      </c>
      <c r="B25" s="39" t="s">
        <v>189</v>
      </c>
      <c r="C25" s="39" t="s">
        <v>190</v>
      </c>
    </row>
    <row r="26" spans="1:3" ht="18" customHeight="1" x14ac:dyDescent="0.25">
      <c r="A26" s="41" t="s">
        <v>42</v>
      </c>
      <c r="B26" s="41" t="s">
        <v>191</v>
      </c>
      <c r="C26" s="41" t="s">
        <v>192</v>
      </c>
    </row>
    <row r="27" spans="1:3" ht="18" customHeight="1" x14ac:dyDescent="0.25">
      <c r="A27" s="40" t="s">
        <v>100</v>
      </c>
      <c r="B27" s="40" t="s">
        <v>193</v>
      </c>
      <c r="C27" s="40" t="s">
        <v>194</v>
      </c>
    </row>
    <row r="28" spans="1:3" ht="18" customHeight="1" x14ac:dyDescent="0.25">
      <c r="A28" s="41" t="s">
        <v>195</v>
      </c>
      <c r="B28" s="41" t="s">
        <v>196</v>
      </c>
      <c r="C28" s="41" t="s">
        <v>197</v>
      </c>
    </row>
    <row r="29" spans="1:3" ht="18" customHeight="1" x14ac:dyDescent="0.25">
      <c r="A29" s="40" t="s">
        <v>110</v>
      </c>
      <c r="B29" s="40" t="s">
        <v>198</v>
      </c>
      <c r="C29" s="40" t="s">
        <v>199</v>
      </c>
    </row>
    <row r="30" spans="1:3" ht="18" customHeight="1" x14ac:dyDescent="0.25">
      <c r="A30" s="41" t="s">
        <v>200</v>
      </c>
      <c r="B30" s="41" t="s">
        <v>201</v>
      </c>
      <c r="C30" s="41" t="s">
        <v>202</v>
      </c>
    </row>
    <row r="31" spans="1:3" ht="18" customHeight="1" x14ac:dyDescent="0.25">
      <c r="A31" s="38"/>
      <c r="B31" s="38"/>
      <c r="C31" s="38"/>
    </row>
    <row r="32" spans="1:3" ht="18" customHeight="1" x14ac:dyDescent="0.25">
      <c r="A32" s="39" t="s">
        <v>203</v>
      </c>
      <c r="B32" s="39" t="s">
        <v>204</v>
      </c>
      <c r="C32" s="39"/>
    </row>
    <row r="33" spans="1:3" ht="18" customHeight="1" x14ac:dyDescent="0.25">
      <c r="A33" s="40" t="s">
        <v>205</v>
      </c>
      <c r="B33" s="40" t="s">
        <v>206</v>
      </c>
      <c r="C33" s="40"/>
    </row>
    <row r="34" spans="1:3" ht="18" customHeight="1" x14ac:dyDescent="0.25">
      <c r="A34" s="41" t="s">
        <v>205</v>
      </c>
      <c r="B34" s="41" t="s">
        <v>207</v>
      </c>
      <c r="C34" s="41"/>
    </row>
    <row r="35" spans="1:3" ht="18" customHeight="1" x14ac:dyDescent="0.25">
      <c r="A35" s="40" t="s">
        <v>208</v>
      </c>
      <c r="B35" s="40" t="s">
        <v>209</v>
      </c>
      <c r="C35" s="40"/>
    </row>
    <row r="36" spans="1:3" ht="18" customHeight="1" x14ac:dyDescent="0.25">
      <c r="A36" s="41" t="s">
        <v>208</v>
      </c>
      <c r="B36" s="41" t="s">
        <v>210</v>
      </c>
      <c r="C36" s="41"/>
    </row>
    <row r="37" spans="1:3" ht="18" customHeight="1" x14ac:dyDescent="0.25">
      <c r="A37" s="40" t="s">
        <v>211</v>
      </c>
      <c r="B37" s="40" t="s">
        <v>212</v>
      </c>
      <c r="C37" s="40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Usuarios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2026-05-20T18:08:38Z</dcterms:created>
  <dcterms:modified xsi:type="dcterms:W3CDTF">2026-08-25T00:06:04Z</dcterms:modified>
  <dc:language>en-US</dc:language>
</cp:coreProperties>
</file>