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RI Identidades" sheetId="1" state="visible" r:id="rId3"/>
    <sheet name="Dashboard" sheetId="2" state="visible" r:id="rId4"/>
    <sheet name="Instructiv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<sst xmlns="http://schemas.openxmlformats.org/spreadsheetml/2006/main" count="127" uniqueCount="88">
  <si>
    <t xml:space="preserve">Ciberprotección para PyMES · Capítulo 4 — Gestión de Identidades</t>
  </si>
  <si>
    <t xml:space="preserve">Indicadores Clave de Riesgo (KRI) — Registro de Seguimiento</t>
  </si>
  <si>
    <t xml:space="preserve">Código KRI</t>
  </si>
  <si>
    <t xml:space="preserve">Descripción</t>
  </si>
  <si>
    <t xml:space="preserve">Métrica</t>
  </si>
  <si>
    <t xml:space="preserve">Umbral de Alerta</t>
  </si>
  <si>
    <t xml:space="preserve">Frecuencia</t>
  </si>
  <si>
    <t xml:space="preserve">Valor Actual</t>
  </si>
  <si>
    <t xml:space="preserve">Estado</t>
  </si>
  <si>
    <t xml:space="preserve">Fecha Medición</t>
  </si>
  <si>
    <t xml:space="preserve">Responsable</t>
  </si>
  <si>
    <t xml:space="preserve">Acción Requerida</t>
  </si>
  <si>
    <t xml:space="preserve">Observaciones</t>
  </si>
  <si>
    <t xml:space="preserve">Ticket / Evidencia</t>
  </si>
  <si>
    <t xml:space="preserve">KRI-ID-01</t>
  </si>
  <si>
    <t xml:space="preserve">Cuentas activas de exempleados</t>
  </si>
  <si>
    <t xml:space="preserve">N.° de cuentas en el directorio vinculadas a colaboradores con fecha de desvinculación registrada</t>
  </si>
  <si>
    <t xml:space="preserve">≥ 1 cuenta activa</t>
  </si>
  <si>
    <t xml:space="preserve">Semanal</t>
  </si>
  <si>
    <t xml:space="preserve">Desactivar de inmediato; revisar accesos ejercidos desde la fecha de desvinculación</t>
  </si>
  <si>
    <t xml:space="preserve">KRI-ID-02</t>
  </si>
  <si>
    <t xml:space="preserve">Intentos de autenticación fallidos</t>
  </si>
  <si>
    <t xml:space="preserve">N.° de intentos de inicio de sesión fallidos en el directorio en las últimas 24 h</t>
  </si>
  <si>
    <t xml:space="preserve">&gt; 20 intentos desde una misma cuenta o IP en &lt; 10 min</t>
  </si>
  <si>
    <t xml:space="preserve">Bloquear cuenta o IP; revisar logs; notificar al responsable de TI</t>
  </si>
  <si>
    <t xml:space="preserve">KRI-ID-03</t>
  </si>
  <si>
    <t xml:space="preserve">Cuentas administrativas sin MFA</t>
  </si>
  <si>
    <t xml:space="preserve">N.° de cuentas con roles administrativos que no tienen MFA activo</t>
  </si>
  <si>
    <t xml:space="preserve">≥ 1 cuenta sin MFA</t>
  </si>
  <si>
    <t xml:space="preserve">Activar MFA de forma inmediata; escalar si el usuario no coopera</t>
  </si>
  <si>
    <t xml:space="preserve">KRI-ID-04</t>
  </si>
  <si>
    <t xml:space="preserve">Cuentas de servicio sin propietario documentado</t>
  </si>
  <si>
    <t xml:space="preserve">N.° de cuentas de servicio sin propietario funcional en el inventario</t>
  </si>
  <si>
    <t xml:space="preserve">≥ 1 cuenta sin propietario</t>
  </si>
  <si>
    <t xml:space="preserve">Mensual</t>
  </si>
  <si>
    <t xml:space="preserve">Identificar propietario o desactivar si el servicio ya no está en producción</t>
  </si>
  <si>
    <t xml:space="preserve">KRI-ID-05</t>
  </si>
  <si>
    <t xml:space="preserve">Días desde la última revisión de privilegios</t>
  </si>
  <si>
    <t xml:space="preserve">Días transcurridos desde la última auditoría formal de permisos por rol</t>
  </si>
  <si>
    <t xml:space="preserve">&gt; 90 días sin revisión</t>
  </si>
  <si>
    <t xml:space="preserve">Programar y ejecutar revisión de privilegios; documentar resultado</t>
  </si>
  <si>
    <t xml:space="preserve">KRI-ID-06</t>
  </si>
  <si>
    <t xml:space="preserve">Cuentas de servicio con credenciales sin rotación</t>
  </si>
  <si>
    <t xml:space="preserve">N.° de cuentas de servicio cuya contraseña no ha sido rotada dentro del período definido</t>
  </si>
  <si>
    <t xml:space="preserve">&gt; 0 cuentas vencidas</t>
  </si>
  <si>
    <t xml:space="preserve">Ejecutar rotación coordinada; verificar que el servicio no se interrumpa</t>
  </si>
  <si>
    <t xml:space="preserve">KRI-ID-07</t>
  </si>
  <si>
    <t xml:space="preserve">Acumulación de privilegios por cambio de rol</t>
  </si>
  <si>
    <t xml:space="preserve">N.° de cuentas que conservan permisos del rol anterior tras cambio de área o función</t>
  </si>
  <si>
    <t xml:space="preserve">≥ 1 cuenta con privilegios acumulados</t>
  </si>
  <si>
    <t xml:space="preserve">Revocar permisos del rol anterior; documentar en el sistema de tickets</t>
  </si>
  <si>
    <t xml:space="preserve">Dashboard — KRI Gestión de Identidades</t>
  </si>
  <si>
    <t xml:space="preserve">Estado consolidado de indicadores · Actualización manual</t>
  </si>
  <si>
    <t xml:space="preserve">Descripción corta</t>
  </si>
  <si>
    <t xml:space="preserve">Umbral</t>
  </si>
  <si>
    <t xml:space="preserve">Última medición</t>
  </si>
  <si>
    <t xml:space="preserve">Tendencia</t>
  </si>
  <si>
    <t xml:space="preserve">&gt; 20 intentos / IP / 10 min</t>
  </si>
  <si>
    <t xml:space="preserve">Cuentas de servicio sin propietario</t>
  </si>
  <si>
    <t xml:space="preserve">Días desde revisión de privilegios</t>
  </si>
  <si>
    <t xml:space="preserve">&gt; 90 días</t>
  </si>
  <si>
    <t xml:space="preserve">Cuentas de servicio sin rotación</t>
  </si>
  <si>
    <t xml:space="preserve">Resumen de estados</t>
  </si>
  <si>
    <t xml:space="preserve">✅ Normal</t>
  </si>
  <si>
    <t xml:space="preserve">⚠️ Alerta</t>
  </si>
  <si>
    <t xml:space="preserve">🔴 Crítico</t>
  </si>
  <si>
    <t xml:space="preserve">— Sin datos</t>
  </si>
  <si>
    <t xml:space="preserve">Instructivo de uso — KRI Gestión de Identidades</t>
  </si>
  <si>
    <t xml:space="preserve">Propósito</t>
  </si>
  <si>
    <t xml:space="preserve">Este archivo registra y hace seguimiento a los Indicadores Clave de Riesgo (KRI) del dominio de Gestión de Identidades, según la estructura del Capítulo 4 del libro Ciberprotección para PyMES.</t>
  </si>
  <si>
    <t xml:space="preserve">Hoja KRI Identidades</t>
  </si>
  <si>
    <t xml:space="preserve">Ingrese el valor medido en la columna 'Valor Actual' con la periodicidad indicada en la columna 'Frecuencia'. Registre la fecha de medición y el nombre del responsable. Seleccione el estado (✅ Normal / ⚠️ Alerta / 🔴 Crítico / — Sin datos) desde la lista desplegable de la columna 'Estado'.</t>
  </si>
  <si>
    <t xml:space="preserve">Hoja Dashboard</t>
  </si>
  <si>
    <t xml:space="preserve">Consolida automáticamente los valores y estados ingresados en la hoja KRI Identidades. No modifique las celdas con fórmulas (columnas D, F, G). La columna 'Tendencia' es de ingreso manual (↑ / → / ↓).</t>
  </si>
  <si>
    <t xml:space="preserve">Umbral de alerta</t>
  </si>
  <si>
    <t xml:space="preserve">Los umbrales definidos en la columna 'Umbral de Alerta' son referencias orientativas para entornos PyME de tamaño medio. Cada organización debe calibrarlos según su propia línea base operativa.</t>
  </si>
  <si>
    <t xml:space="preserve">Frecuencia: Semanal. Alerta si existe ≥ 1 cuenta activa asociada a un colaborador desvinculado. Acción inmediata: desactivar la cuenta y revisar los accesos ejercidos desde la fecha de desvinculación.</t>
  </si>
  <si>
    <t xml:space="preserve">Frecuencia: Semanal. Alerta si se detectan &gt; 20 intentos fallidos desde una misma cuenta o IP en menos de 10 minutos. Posible indicador de ataque de fuerza bruta.</t>
  </si>
  <si>
    <t xml:space="preserve">Frecuencia: Semanal. Alerta si existe ≥ 1 cuenta con rol administrativo sin MFA activo. Condición crítica: debe resolverse de forma inmediata sin excepciones.</t>
  </si>
  <si>
    <t xml:space="preserve">Frecuencia: Mensual. Alerta si existe ≥ 1 cuenta de servicio sin propietario funcional documentado en el inventario. Acción: identificar propietario o desactivar.</t>
  </si>
  <si>
    <t xml:space="preserve">Frecuencia: Mensual. Alerta si han transcurrido &gt; 90 días desde la última auditoría formal de privilegios por rol. Programar revisión y documentar resultado.</t>
  </si>
  <si>
    <t xml:space="preserve">Frecuencia: Mensual. Alerta si existe ≥ 1 cuenta de servicio con contraseña vencida según la política. Ejecutar rotación coordinada verificando continuidad del servicio.</t>
  </si>
  <si>
    <t xml:space="preserve">Frecuencia: Mensual. Alerta si existe ≥ 1 cuenta que conserva permisos del rol anterior tras un cambio de área o función. Revocar privilegios acumulados y documentar en el sistema de tickets.</t>
  </si>
  <si>
    <t xml:space="preserve">Evidencia</t>
  </si>
  <si>
    <t xml:space="preserve">Registre en la columna 'Ticket / Evidencia' el número de ticket del sistema ITSM o la referencia del documento que acredita la medición o la acción tomada.</t>
  </si>
  <si>
    <t xml:space="preserve">Calendario NSOC</t>
  </si>
  <si>
    <t xml:space="preserve">Integre la revisión de estos KRI como tarea recurrente en el Calendario NSOC definido en el Capítulo 1: semanal para KRI-ID-01/02/03 y mensual para KRI-ID-04/05/06/07.</t>
  </si>
  <si>
    <t xml:space="preserve">© Mauricio Vergara Manjarrés · Ciberprotección para PyMES · github.com/MauricioVergaraMPC/ciberpymes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</si>
</sst>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i val="true"/>
      <sz val="10"/>
      <color rgb="FF185FA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185FA5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i val="true"/>
      <sz val="8"/>
      <color rgb="FF5F5E5A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85FA5"/>
        <bgColor rgb="FF008080"/>
      </patternFill>
    </fill>
    <fill>
      <patternFill patternType="solid">
        <fgColor rgb="FFB5D4F4"/>
        <bgColor rgb="FF99CCFF"/>
      </patternFill>
    </fill>
    <fill>
      <patternFill patternType="solid">
        <fgColor rgb="FFFFFFFF"/>
        <bgColor rgb="FFF4F2EC"/>
      </patternFill>
    </fill>
    <fill>
      <patternFill patternType="solid">
        <fgColor rgb="FFF4F2EC"/>
        <bgColor rgb="FFFFFFFF"/>
      </patternFill>
    </fill>
    <fill>
      <patternFill patternType="solid">
        <fgColor rgb="FF5F5E5A"/>
        <bgColor rgb="FF3B6D11"/>
      </patternFill>
    </fill>
    <fill>
      <patternFill patternType="solid">
        <fgColor rgb="FF3B6D11"/>
        <bgColor rgb="FF5F5E5A"/>
      </patternFill>
    </fill>
    <fill>
      <patternFill patternType="solid">
        <fgColor rgb="FFBA7517"/>
        <bgColor rgb="FFFF6600"/>
      </patternFill>
    </fill>
    <fill>
      <patternFill patternType="solid">
        <fgColor rgb="FFA32D2D"/>
        <bgColor rgb="FF993366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 diagonalUp="false" diagonalDown="false">
      <left style="thin">
        <color rgb="FFD3D1C7"/>
      </left>
      <right/>
      <top style="thin">
        <color rgb="FFD3D1C7"/>
      </top>
      <bottom style="thin">
        <color rgb="FFD3D1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FFFFFF"/>
        <sz val="9"/>
      </font>
      <fill>
        <patternFill>
          <bgColor rgb="FFA32D2D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BA7517"/>
        </patternFill>
      </fill>
    </dxf>
    <dxf>
      <font>
        <name val="Arial"/>
        <charset val="1"/>
        <family val="0"/>
        <b val="1"/>
        <color rgb="FFFFFFFF"/>
        <sz val="9"/>
      </font>
      <fill>
        <patternFill>
          <bgColor rgb="FF3B6D1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3B6D11"/>
      <rgbColor rgb="FF000080"/>
      <rgbColor rgb="FFBA7517"/>
      <rgbColor rgb="FF800080"/>
      <rgbColor rgb="FF008080"/>
      <rgbColor rgb="FFD3D1C7"/>
      <rgbColor rgb="FF808080"/>
      <rgbColor rgb="FF9999FF"/>
      <rgbColor rgb="FF993366"/>
      <rgbColor rgb="FFF4F2EC"/>
      <rgbColor rgb="FFCCFFFF"/>
      <rgbColor rgb="FF660066"/>
      <rgbColor rgb="FFFF8080"/>
      <rgbColor rgb="FF185FA5"/>
      <rgbColor rgb="FFB5D4F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F5E5A"/>
      <rgbColor rgb="FF969696"/>
      <rgbColor rgb="FF003366"/>
      <rgbColor rgb="FF339966"/>
      <rgbColor rgb="FF003300"/>
      <rgbColor rgb="FF333300"/>
      <rgbColor rgb="FFA32D2D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8"/>
    <col collapsed="false" customWidth="true" hidden="false" outlineLevel="0" max="4" min="3" style="0" width="28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38"/>
    <col collapsed="false" customWidth="true" hidden="false" outlineLevel="0" max="11" min="11" style="0" width="30"/>
    <col collapsed="false" customWidth="true" hidden="false" outlineLevel="0" max="12" min="12" style="0" width="2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7.5" hidden="false" customHeight="true" outlineLevel="0" collapsed="false"/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48" hidden="false" customHeight="true" outlineLevel="0" collapsed="false">
      <c r="A5" s="4" t="s">
        <v>14</v>
      </c>
      <c r="B5" s="5" t="s">
        <v>15</v>
      </c>
      <c r="C5" s="5" t="s">
        <v>16</v>
      </c>
      <c r="D5" s="5" t="s">
        <v>17</v>
      </c>
      <c r="E5" s="6" t="s">
        <v>18</v>
      </c>
      <c r="F5" s="5"/>
      <c r="G5" s="6"/>
      <c r="H5" s="6"/>
      <c r="I5" s="5"/>
      <c r="J5" s="5" t="s">
        <v>19</v>
      </c>
      <c r="K5" s="5"/>
      <c r="L5" s="5"/>
    </row>
    <row r="6" customFormat="false" ht="48" hidden="false" customHeight="true" outlineLevel="0" collapsed="false">
      <c r="A6" s="7" t="s">
        <v>20</v>
      </c>
      <c r="B6" s="8" t="s">
        <v>21</v>
      </c>
      <c r="C6" s="8" t="s">
        <v>22</v>
      </c>
      <c r="D6" s="8" t="s">
        <v>23</v>
      </c>
      <c r="E6" s="9" t="s">
        <v>18</v>
      </c>
      <c r="F6" s="8"/>
      <c r="G6" s="9"/>
      <c r="H6" s="9"/>
      <c r="I6" s="8"/>
      <c r="J6" s="8" t="s">
        <v>24</v>
      </c>
      <c r="K6" s="8"/>
      <c r="L6" s="8"/>
    </row>
    <row r="7" customFormat="false" ht="48" hidden="false" customHeight="true" outlineLevel="0" collapsed="false">
      <c r="A7" s="4" t="s">
        <v>25</v>
      </c>
      <c r="B7" s="5" t="s">
        <v>26</v>
      </c>
      <c r="C7" s="5" t="s">
        <v>27</v>
      </c>
      <c r="D7" s="5" t="s">
        <v>28</v>
      </c>
      <c r="E7" s="6" t="s">
        <v>18</v>
      </c>
      <c r="F7" s="5"/>
      <c r="G7" s="6"/>
      <c r="H7" s="6"/>
      <c r="I7" s="5"/>
      <c r="J7" s="5" t="s">
        <v>29</v>
      </c>
      <c r="K7" s="5"/>
      <c r="L7" s="5"/>
    </row>
    <row r="8" customFormat="false" ht="48" hidden="false" customHeight="true" outlineLevel="0" collapsed="false">
      <c r="A8" s="7" t="s">
        <v>30</v>
      </c>
      <c r="B8" s="8" t="s">
        <v>31</v>
      </c>
      <c r="C8" s="8" t="s">
        <v>32</v>
      </c>
      <c r="D8" s="8" t="s">
        <v>33</v>
      </c>
      <c r="E8" s="9" t="s">
        <v>34</v>
      </c>
      <c r="F8" s="8"/>
      <c r="G8" s="9"/>
      <c r="H8" s="9"/>
      <c r="I8" s="8"/>
      <c r="J8" s="8" t="s">
        <v>35</v>
      </c>
      <c r="K8" s="8"/>
      <c r="L8" s="8"/>
    </row>
    <row r="9" customFormat="false" ht="48" hidden="false" customHeight="true" outlineLevel="0" collapsed="false">
      <c r="A9" s="4" t="s">
        <v>36</v>
      </c>
      <c r="B9" s="5" t="s">
        <v>37</v>
      </c>
      <c r="C9" s="5" t="s">
        <v>38</v>
      </c>
      <c r="D9" s="5" t="s">
        <v>39</v>
      </c>
      <c r="E9" s="6" t="s">
        <v>34</v>
      </c>
      <c r="F9" s="5"/>
      <c r="G9" s="6"/>
      <c r="H9" s="6"/>
      <c r="I9" s="5"/>
      <c r="J9" s="5" t="s">
        <v>40</v>
      </c>
      <c r="K9" s="5"/>
      <c r="L9" s="5"/>
    </row>
    <row r="10" customFormat="false" ht="48" hidden="false" customHeight="true" outlineLevel="0" collapsed="false">
      <c r="A10" s="7" t="s">
        <v>41</v>
      </c>
      <c r="B10" s="8" t="s">
        <v>42</v>
      </c>
      <c r="C10" s="8" t="s">
        <v>43</v>
      </c>
      <c r="D10" s="8" t="s">
        <v>44</v>
      </c>
      <c r="E10" s="9" t="s">
        <v>34</v>
      </c>
      <c r="F10" s="8"/>
      <c r="G10" s="9"/>
      <c r="H10" s="9"/>
      <c r="I10" s="8"/>
      <c r="J10" s="8" t="s">
        <v>45</v>
      </c>
      <c r="K10" s="8"/>
      <c r="L10" s="8"/>
    </row>
    <row r="11" customFormat="false" ht="48" hidden="false" customHeight="true" outlineLevel="0" collapsed="false">
      <c r="A11" s="4" t="s">
        <v>46</v>
      </c>
      <c r="B11" s="5" t="s">
        <v>47</v>
      </c>
      <c r="C11" s="5" t="s">
        <v>48</v>
      </c>
      <c r="D11" s="5" t="s">
        <v>49</v>
      </c>
      <c r="E11" s="6" t="s">
        <v>34</v>
      </c>
      <c r="F11" s="5"/>
      <c r="G11" s="6"/>
      <c r="H11" s="6"/>
      <c r="I11" s="5"/>
      <c r="J11" s="5" t="s">
        <v>50</v>
      </c>
      <c r="K11" s="5"/>
      <c r="L11" s="5"/>
    </row>
  </sheetData>
  <mergeCells count="2">
    <mergeCell ref="A1:L1"/>
    <mergeCell ref="A2:L2"/>
  </mergeCells>
  <conditionalFormatting sqref="G5:G11">
    <cfRule type="cellIs" priority="2" operator="equal" aboveAverage="0" equalAverage="0" bottom="0" percent="0" rank="0" text="" dxfId="0">
      <formula>"🔴 Crítico"</formula>
    </cfRule>
    <cfRule type="cellIs" priority="3" operator="equal" aboveAverage="0" equalAverage="0" bottom="0" percent="0" rank="0" text="" dxfId="1">
      <formula>"⚠️ Alerta"</formula>
    </cfRule>
    <cfRule type="cellIs" priority="4" operator="equal" aboveAverage="0" equalAverage="0" bottom="0" percent="0" rank="0" text="" dxfId="2">
      <formula>"✅ Normal"</formula>
    </cfRule>
  </conditionalFormatting>
  <dataValidations count="1">
    <dataValidation allowBlank="true" error="Seleccione un valor de la lista" errorStyle="stop" operator="between" prompt="Estado del KRI" showDropDown="false" showErrorMessage="false" showInputMessage="false" sqref="G5:G11" type="list">
      <formula1>"✅ Normal,⚠️ Alerta,🔴 Crítico,— Sin datos"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8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5" min="5" style="0" width="28"/>
    <col collapsed="false" customWidth="true" hidden="false" outlineLevel="0" max="6" min="6" style="0" width="14"/>
    <col collapsed="false" customWidth="true" hidden="false" outlineLevel="0" max="7" min="7" style="0" width="18"/>
    <col collapsed="false" customWidth="true" hidden="false" outlineLevel="0" max="8" min="8" style="0" width="12"/>
  </cols>
  <sheetData>
    <row r="1" customFormat="false" ht="27.75" hidden="false" customHeight="true" outlineLevel="0" collapsed="false">
      <c r="A1" s="1" t="s">
        <v>51</v>
      </c>
      <c r="B1" s="1"/>
      <c r="C1" s="1"/>
      <c r="D1" s="1"/>
      <c r="E1" s="1"/>
      <c r="F1" s="1"/>
      <c r="G1" s="1"/>
      <c r="H1" s="1"/>
    </row>
    <row r="2" customFormat="false" ht="18" hidden="false" customHeight="true" outlineLevel="0" collapsed="false">
      <c r="A2" s="2" t="s">
        <v>52</v>
      </c>
      <c r="B2" s="2"/>
      <c r="C2" s="2"/>
      <c r="D2" s="2"/>
      <c r="E2" s="2"/>
      <c r="F2" s="2"/>
      <c r="G2" s="2"/>
      <c r="H2" s="2"/>
    </row>
    <row r="3" customFormat="false" ht="7.5" hidden="false" customHeight="true" outlineLevel="0" collapsed="false"/>
    <row r="4" customFormat="false" ht="27.75" hidden="false" customHeight="true" outlineLevel="0" collapsed="false">
      <c r="A4" s="3" t="s">
        <v>2</v>
      </c>
      <c r="B4" s="3" t="s">
        <v>53</v>
      </c>
      <c r="C4" s="3" t="s">
        <v>6</v>
      </c>
      <c r="D4" s="3" t="s">
        <v>7</v>
      </c>
      <c r="E4" s="3" t="s">
        <v>54</v>
      </c>
      <c r="F4" s="3" t="s">
        <v>8</v>
      </c>
      <c r="G4" s="3" t="s">
        <v>55</v>
      </c>
      <c r="H4" s="3" t="s">
        <v>56</v>
      </c>
    </row>
    <row r="5" customFormat="false" ht="27.75" hidden="false" customHeight="true" outlineLevel="0" collapsed="false">
      <c r="A5" s="4" t="s">
        <v>14</v>
      </c>
      <c r="B5" s="5" t="s">
        <v>15</v>
      </c>
      <c r="C5" s="6" t="s">
        <v>18</v>
      </c>
      <c r="D5" s="5" t="n">
        <f aca="false">'KRI Identidades'!F5</f>
        <v>0</v>
      </c>
      <c r="E5" s="5" t="s">
        <v>17</v>
      </c>
      <c r="F5" s="10" t="n">
        <f aca="false">'KRI Identidades'!G5</f>
        <v>0</v>
      </c>
      <c r="G5" s="6" t="n">
        <f aca="false">'KRI Identidades'!H5</f>
        <v>0</v>
      </c>
      <c r="H5" s="6"/>
    </row>
    <row r="6" customFormat="false" ht="27.75" hidden="false" customHeight="true" outlineLevel="0" collapsed="false">
      <c r="A6" s="7" t="s">
        <v>20</v>
      </c>
      <c r="B6" s="8" t="s">
        <v>21</v>
      </c>
      <c r="C6" s="9" t="s">
        <v>18</v>
      </c>
      <c r="D6" s="8" t="n">
        <f aca="false">'KRI Identidades'!F6</f>
        <v>0</v>
      </c>
      <c r="E6" s="8" t="s">
        <v>57</v>
      </c>
      <c r="F6" s="11" t="n">
        <f aca="false">'KRI Identidades'!G6</f>
        <v>0</v>
      </c>
      <c r="G6" s="9" t="n">
        <f aca="false">'KRI Identidades'!H6</f>
        <v>0</v>
      </c>
      <c r="H6" s="9"/>
    </row>
    <row r="7" customFormat="false" ht="27.75" hidden="false" customHeight="true" outlineLevel="0" collapsed="false">
      <c r="A7" s="4" t="s">
        <v>25</v>
      </c>
      <c r="B7" s="5" t="s">
        <v>26</v>
      </c>
      <c r="C7" s="6" t="s">
        <v>18</v>
      </c>
      <c r="D7" s="5" t="n">
        <f aca="false">'KRI Identidades'!F7</f>
        <v>0</v>
      </c>
      <c r="E7" s="5" t="s">
        <v>28</v>
      </c>
      <c r="F7" s="10" t="n">
        <f aca="false">'KRI Identidades'!G7</f>
        <v>0</v>
      </c>
      <c r="G7" s="6" t="n">
        <f aca="false">'KRI Identidades'!H7</f>
        <v>0</v>
      </c>
      <c r="H7" s="6"/>
    </row>
    <row r="8" customFormat="false" ht="27.75" hidden="false" customHeight="true" outlineLevel="0" collapsed="false">
      <c r="A8" s="7" t="s">
        <v>30</v>
      </c>
      <c r="B8" s="8" t="s">
        <v>58</v>
      </c>
      <c r="C8" s="9" t="s">
        <v>34</v>
      </c>
      <c r="D8" s="8" t="n">
        <f aca="false">'KRI Identidades'!F8</f>
        <v>0</v>
      </c>
      <c r="E8" s="8" t="s">
        <v>33</v>
      </c>
      <c r="F8" s="11" t="n">
        <f aca="false">'KRI Identidades'!G8</f>
        <v>0</v>
      </c>
      <c r="G8" s="9" t="n">
        <f aca="false">'KRI Identidades'!H8</f>
        <v>0</v>
      </c>
      <c r="H8" s="9"/>
    </row>
    <row r="9" customFormat="false" ht="27.75" hidden="false" customHeight="true" outlineLevel="0" collapsed="false">
      <c r="A9" s="4" t="s">
        <v>36</v>
      </c>
      <c r="B9" s="5" t="s">
        <v>59</v>
      </c>
      <c r="C9" s="6" t="s">
        <v>34</v>
      </c>
      <c r="D9" s="5" t="n">
        <f aca="false">'KRI Identidades'!F9</f>
        <v>0</v>
      </c>
      <c r="E9" s="5" t="s">
        <v>60</v>
      </c>
      <c r="F9" s="10" t="n">
        <f aca="false">'KRI Identidades'!G9</f>
        <v>0</v>
      </c>
      <c r="G9" s="6" t="n">
        <f aca="false">'KRI Identidades'!H9</f>
        <v>0</v>
      </c>
      <c r="H9" s="6"/>
    </row>
    <row r="10" customFormat="false" ht="27.75" hidden="false" customHeight="true" outlineLevel="0" collapsed="false">
      <c r="A10" s="7" t="s">
        <v>41</v>
      </c>
      <c r="B10" s="8" t="s">
        <v>61</v>
      </c>
      <c r="C10" s="9" t="s">
        <v>34</v>
      </c>
      <c r="D10" s="8" t="n">
        <f aca="false">'KRI Identidades'!F10</f>
        <v>0</v>
      </c>
      <c r="E10" s="8" t="s">
        <v>44</v>
      </c>
      <c r="F10" s="11" t="n">
        <f aca="false">'KRI Identidades'!G10</f>
        <v>0</v>
      </c>
      <c r="G10" s="9" t="n">
        <f aca="false">'KRI Identidades'!H10</f>
        <v>0</v>
      </c>
      <c r="H10" s="9"/>
    </row>
    <row r="11" customFormat="false" ht="27.75" hidden="false" customHeight="true" outlineLevel="0" collapsed="false">
      <c r="A11" s="4" t="s">
        <v>46</v>
      </c>
      <c r="B11" s="5" t="s">
        <v>47</v>
      </c>
      <c r="C11" s="6" t="s">
        <v>34</v>
      </c>
      <c r="D11" s="5" t="n">
        <f aca="false">'KRI Identidades'!F11</f>
        <v>0</v>
      </c>
      <c r="E11" s="5" t="s">
        <v>49</v>
      </c>
      <c r="F11" s="10" t="n">
        <f aca="false">'KRI Identidades'!G11</f>
        <v>0</v>
      </c>
      <c r="G11" s="6" t="n">
        <f aca="false">'KRI Identidades'!H11</f>
        <v>0</v>
      </c>
      <c r="H11" s="6"/>
    </row>
    <row r="13" customFormat="false" ht="7.5" hidden="false" customHeight="true" outlineLevel="0" collapsed="false"/>
    <row r="14" customFormat="false" ht="15" hidden="false" customHeight="false" outlineLevel="0" collapsed="false">
      <c r="A14" s="12" t="s">
        <v>62</v>
      </c>
      <c r="B14" s="12"/>
      <c r="C14" s="13"/>
    </row>
    <row r="15" customFormat="false" ht="21.75" hidden="false" customHeight="true" outlineLevel="0" collapsed="false">
      <c r="A15" s="14" t="s">
        <v>63</v>
      </c>
      <c r="B15" s="15" t="n">
        <f aca="false">COUNTIF(F5:F11,"✅ Normal")</f>
        <v>0</v>
      </c>
    </row>
    <row r="16" customFormat="false" ht="21.75" hidden="false" customHeight="true" outlineLevel="0" collapsed="false">
      <c r="A16" s="16" t="s">
        <v>64</v>
      </c>
      <c r="B16" s="15" t="n">
        <f aca="false">COUNTIF(F5:F11,"⚠️ Alerta")</f>
        <v>0</v>
      </c>
    </row>
    <row r="17" customFormat="false" ht="21.75" hidden="false" customHeight="true" outlineLevel="0" collapsed="false">
      <c r="A17" s="17" t="s">
        <v>65</v>
      </c>
      <c r="B17" s="15" t="n">
        <f aca="false">COUNTIF(F5:F11,"🔴 Crítico")</f>
        <v>0</v>
      </c>
    </row>
    <row r="18" customFormat="false" ht="21.75" hidden="false" customHeight="true" outlineLevel="0" collapsed="false">
      <c r="A18" s="18" t="s">
        <v>66</v>
      </c>
      <c r="B18" s="15" t="n">
        <f aca="false">COUNTIF(F5:F11,"— Sin datos")</f>
        <v>0</v>
      </c>
    </row>
  </sheetData>
  <mergeCells count="3">
    <mergeCell ref="A1:H1"/>
    <mergeCell ref="A2:H2"/>
    <mergeCell ref="A14:B14"/>
  </mergeCells>
  <conditionalFormatting sqref="F5:F11">
    <cfRule type="cellIs" priority="2" operator="equal" aboveAverage="0" equalAverage="0" bottom="0" percent="0" rank="0" text="" dxfId="0">
      <formula>"🔴 Crítico"</formula>
    </cfRule>
    <cfRule type="cellIs" priority="3" operator="equal" aboveAverage="0" equalAverage="0" bottom="0" percent="0" rank="0" text="" dxfId="1">
      <formula>"⚠️ Alerta"</formula>
    </cfRule>
    <cfRule type="cellIs" priority="4" operator="equal" aboveAverage="0" equalAverage="0" bottom="0" percent="0" rank="0" text="" dxfId="2">
      <formula>"✅ Normal"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27.75" hidden="false" customHeight="true" outlineLevel="0" collapsed="false">
      <c r="A1" s="1" t="s">
        <v>67</v>
      </c>
      <c r="B1" s="1"/>
    </row>
    <row r="3" customFormat="false" ht="42" hidden="false" customHeight="true" outlineLevel="0" collapsed="false">
      <c r="A3" s="19" t="s">
        <v>68</v>
      </c>
      <c r="B3" s="20" t="s">
        <v>69</v>
      </c>
    </row>
    <row r="4" customFormat="false" ht="42" hidden="false" customHeight="true" outlineLevel="0" collapsed="false">
      <c r="A4" s="21" t="s">
        <v>70</v>
      </c>
      <c r="B4" s="22" t="s">
        <v>71</v>
      </c>
    </row>
    <row r="5" customFormat="false" ht="42" hidden="false" customHeight="true" outlineLevel="0" collapsed="false">
      <c r="A5" s="19" t="s">
        <v>72</v>
      </c>
      <c r="B5" s="20" t="s">
        <v>73</v>
      </c>
    </row>
    <row r="6" customFormat="false" ht="42" hidden="false" customHeight="true" outlineLevel="0" collapsed="false">
      <c r="A6" s="21" t="s">
        <v>74</v>
      </c>
      <c r="B6" s="22" t="s">
        <v>75</v>
      </c>
    </row>
    <row r="7" customFormat="false" ht="42" hidden="false" customHeight="true" outlineLevel="0" collapsed="false">
      <c r="A7" s="19" t="s">
        <v>14</v>
      </c>
      <c r="B7" s="20" t="s">
        <v>76</v>
      </c>
    </row>
    <row r="8" customFormat="false" ht="42" hidden="false" customHeight="true" outlineLevel="0" collapsed="false">
      <c r="A8" s="21" t="s">
        <v>20</v>
      </c>
      <c r="B8" s="22" t="s">
        <v>77</v>
      </c>
    </row>
    <row r="9" customFormat="false" ht="42" hidden="false" customHeight="true" outlineLevel="0" collapsed="false">
      <c r="A9" s="19" t="s">
        <v>25</v>
      </c>
      <c r="B9" s="20" t="s">
        <v>78</v>
      </c>
    </row>
    <row r="10" customFormat="false" ht="42" hidden="false" customHeight="true" outlineLevel="0" collapsed="false">
      <c r="A10" s="21" t="s">
        <v>30</v>
      </c>
      <c r="B10" s="22" t="s">
        <v>79</v>
      </c>
    </row>
    <row r="11" customFormat="false" ht="42" hidden="false" customHeight="true" outlineLevel="0" collapsed="false">
      <c r="A11" s="19" t="s">
        <v>36</v>
      </c>
      <c r="B11" s="20" t="s">
        <v>80</v>
      </c>
    </row>
    <row r="12" customFormat="false" ht="42" hidden="false" customHeight="true" outlineLevel="0" collapsed="false">
      <c r="A12" s="21" t="s">
        <v>41</v>
      </c>
      <c r="B12" s="22" t="s">
        <v>81</v>
      </c>
    </row>
    <row r="13" customFormat="false" ht="42" hidden="false" customHeight="true" outlineLevel="0" collapsed="false">
      <c r="A13" s="19" t="s">
        <v>46</v>
      </c>
      <c r="B13" s="20" t="s">
        <v>82</v>
      </c>
    </row>
    <row r="14" customFormat="false" ht="42" hidden="false" customHeight="true" outlineLevel="0" collapsed="false">
      <c r="A14" s="21" t="s">
        <v>83</v>
      </c>
      <c r="B14" s="22" t="s">
        <v>84</v>
      </c>
    </row>
    <row r="15" customFormat="false" ht="42" hidden="false" customHeight="true" outlineLevel="0" collapsed="false">
      <c r="A15" s="19" t="s">
        <v>85</v>
      </c>
      <c r="B15" s="20" t="s">
        <v>86</v>
      </c>
    </row>
    <row r="18" customFormat="false" ht="15" hidden="false" customHeight="false" outlineLevel="0" collapsed="false">
      <c r="A18" s="23" t="s">
        <v>87</v>
      </c>
      <c r="B18" s="23"/>
    </row>
  </sheetData>
  <mergeCells count="2">
    <mergeCell ref="A1:B1"/>
    <mergeCell ref="A18:B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2026-05-17T05:15:07Z</dcterms:created>
  <dc:creator>openpyxl</dc:creator>
  <dc:description/>
  <dc:language>en-US</dc:language>
  <cp:lastModifiedBy/>
  <dcterms:modified xsi:type="dcterms:W3CDTF">2026-05-17T05:15:07Z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