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Libro MPC/Capitulos/04- Identidades/Templates/"/>
    </mc:Choice>
  </mc:AlternateContent>
  <xr:revisionPtr revIDLastSave="1" documentId="11_0A55A2EFCCF11C8FF5C0F1C4B1FD1897CE14FB81" xr6:coauthVersionLast="47" xr6:coauthVersionMax="47" xr10:uidLastSave="{6A9256DB-498E-44B5-B359-5E29AD251560}"/>
  <bookViews>
    <workbookView xWindow="3900" yWindow="1395" windowWidth="21600" windowHeight="11505" tabRatio="500" xr2:uid="{00000000-000D-0000-FFFF-FFFF00000000}"/>
  </bookViews>
  <sheets>
    <sheet name="KRI Identidades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B17" i="2"/>
  <c r="B16" i="2"/>
  <c r="G11" i="2"/>
  <c r="F11" i="2"/>
  <c r="D11" i="2"/>
  <c r="G10" i="2"/>
  <c r="F10" i="2"/>
  <c r="D10" i="2"/>
  <c r="G9" i="2"/>
  <c r="F9" i="2"/>
  <c r="D9" i="2"/>
  <c r="G8" i="2"/>
  <c r="F8" i="2"/>
  <c r="D8" i="2"/>
  <c r="G7" i="2"/>
  <c r="F7" i="2"/>
  <c r="D7" i="2"/>
  <c r="G6" i="2"/>
  <c r="F6" i="2"/>
  <c r="D6" i="2"/>
  <c r="G5" i="2"/>
  <c r="F5" i="2"/>
  <c r="B15" i="2" s="1"/>
  <c r="D5" i="2"/>
</calcChain>
</file>

<file path=xl/sharedStrings.xml><?xml version="1.0" encoding="utf-8"?>
<sst xmlns="http://schemas.openxmlformats.org/spreadsheetml/2006/main" count="127" uniqueCount="88">
  <si>
    <t>Ciberprotección para PyMES · Capítulo 4 — Gestión de Identidades</t>
  </si>
  <si>
    <t>Indicadores Clave de Riesgo (KRI) — Registro de Seguimiento</t>
  </si>
  <si>
    <t>Código KRI</t>
  </si>
  <si>
    <t>Descripción</t>
  </si>
  <si>
    <t>Métrica</t>
  </si>
  <si>
    <t>Umbral de Alerta</t>
  </si>
  <si>
    <t>Frecuencia</t>
  </si>
  <si>
    <t>Valor Actual</t>
  </si>
  <si>
    <t>Estado</t>
  </si>
  <si>
    <t>Fecha Medición</t>
  </si>
  <si>
    <t>Responsable</t>
  </si>
  <si>
    <t>Acción Requerida</t>
  </si>
  <si>
    <t>Observaciones</t>
  </si>
  <si>
    <t>Ticket / Evidencia</t>
  </si>
  <si>
    <t>KRI-ID-01</t>
  </si>
  <si>
    <t>Cuentas activas de exempleados</t>
  </si>
  <si>
    <t>N.° de cuentas en el directorio vinculadas a colaboradores con fecha de desvinculación registrada</t>
  </si>
  <si>
    <t>≥ 1 cuenta activa</t>
  </si>
  <si>
    <t>Semanal</t>
  </si>
  <si>
    <t>Desactivar de inmediato; revisar accesos ejercidos desde la fecha de desvinculación</t>
  </si>
  <si>
    <t>KRI-ID-02</t>
  </si>
  <si>
    <t>Intentos de autenticación fallidos</t>
  </si>
  <si>
    <t>N.° de intentos de inicio de sesión fallidos en el directorio en las últimas 24 h</t>
  </si>
  <si>
    <t>&gt; 20 intentos desde una misma cuenta o IP en &lt; 10 min</t>
  </si>
  <si>
    <t>Bloquear cuenta o IP; revisar logs; notificar al responsable de TI</t>
  </si>
  <si>
    <t>KRI-ID-03</t>
  </si>
  <si>
    <t>Cuentas administrativas sin MFA</t>
  </si>
  <si>
    <t>N.° de cuentas con roles administrativos que no tienen MFA activo</t>
  </si>
  <si>
    <t>≥ 1 cuenta sin MFA</t>
  </si>
  <si>
    <t>Activar MFA de forma inmediata; escalar si el usuario no coopera</t>
  </si>
  <si>
    <t>KRI-ID-04</t>
  </si>
  <si>
    <t>Cuentas de servicio sin propietario documentado</t>
  </si>
  <si>
    <t>N.° de cuentas de servicio sin propietario funcional en el inventario</t>
  </si>
  <si>
    <t>≥ 1 cuenta sin propietario</t>
  </si>
  <si>
    <t>Mensual</t>
  </si>
  <si>
    <t>Identificar propietario o desactivar si el servicio ya no está en producción</t>
  </si>
  <si>
    <t>KRI-ID-05</t>
  </si>
  <si>
    <t>Días desde la última revisión de privilegios</t>
  </si>
  <si>
    <t>Días transcurridos desde la última auditoría formal de permisos por rol</t>
  </si>
  <si>
    <t>&gt; 90 días sin revisión</t>
  </si>
  <si>
    <t>Programar y ejecutar revisión de privilegios; documentar resultado</t>
  </si>
  <si>
    <t>KRI-ID-06</t>
  </si>
  <si>
    <t>Cuentas de servicio con credenciales sin rotación</t>
  </si>
  <si>
    <t>N.° de cuentas de servicio cuya contraseña no ha sido rotada dentro del período definido</t>
  </si>
  <si>
    <t>&gt; 0 cuentas vencidas</t>
  </si>
  <si>
    <t>Ejecutar rotación coordinada; verificar que el servicio no se interrumpa</t>
  </si>
  <si>
    <t>KRI-ID-07</t>
  </si>
  <si>
    <t>Acumulación de privilegios por cambio de rol</t>
  </si>
  <si>
    <t>N.° de cuentas que conservan permisos del rol anterior tras cambio de área o función</t>
  </si>
  <si>
    <t>≥ 1 cuenta con privilegios acumulados</t>
  </si>
  <si>
    <t>Revocar permisos del rol anterior; documentar en el sistema de tickets</t>
  </si>
  <si>
    <t>Dashboard — KRI Gestión de Identidades</t>
  </si>
  <si>
    <t>Estado consolidado de indicadores · Actualización manual</t>
  </si>
  <si>
    <t>Descripción corta</t>
  </si>
  <si>
    <t>Umbral</t>
  </si>
  <si>
    <t>Última medición</t>
  </si>
  <si>
    <t>Tendencia</t>
  </si>
  <si>
    <t>&gt; 20 intentos / IP / 10 min</t>
  </si>
  <si>
    <t>Cuentas de servicio sin propietario</t>
  </si>
  <si>
    <t>Días desde revisión de privilegios</t>
  </si>
  <si>
    <t>&gt; 90 días</t>
  </si>
  <si>
    <t>Cuentas de servicio sin rotación</t>
  </si>
  <si>
    <t>Resumen de estados</t>
  </si>
  <si>
    <t>✅ Normal</t>
  </si>
  <si>
    <t>⚠️ Alerta</t>
  </si>
  <si>
    <t>🔴 Crítico</t>
  </si>
  <si>
    <t>— Sin datos</t>
  </si>
  <si>
    <t>Instructivo de uso — KRI Gestión de Identidades</t>
  </si>
  <si>
    <t>Propósito</t>
  </si>
  <si>
    <t>Este archivo registra y hace seguimiento a los Indicadores Clave de Riesgo (KRI) del dominio de Gestión de Identidades, según la estructura del Capítulo 4 del libro Ciberprotección para PyMES.</t>
  </si>
  <si>
    <t>Hoja KRI Identidades</t>
  </si>
  <si>
    <t>Ingrese el valor medido en la columna 'Valor Actual' con la periodicidad indicada en la columna 'Frecuencia'. Registre la fecha de medición y el nombre del responsable. Seleccione el estado (✅ Normal / ⚠️ Alerta / 🔴 Crítico / — Sin datos) desde la lista desplegable de la columna 'Estado'.</t>
  </si>
  <si>
    <t>Hoja Dashboard</t>
  </si>
  <si>
    <t>Consolida automáticamente los valores y estados ingresados en la hoja KRI Identidades. No modifique las celdas con fórmulas (columnas D, F, G). La columna 'Tendencia' es de ingreso manual (↑ / → / ↓).</t>
  </si>
  <si>
    <t>Umbral de alerta</t>
  </si>
  <si>
    <t>Los umbrales definidos en la columna 'Umbral de Alerta' son referencias orientativas para entornos PyME de tamaño medio. Cada organización debe calibrarlos según su propia línea base operativa.</t>
  </si>
  <si>
    <t>Frecuencia: Semanal. Alerta si existe ≥ 1 cuenta activa asociada a un colaborador desvinculado. Acción inmediata: desactivar la cuenta y revisar los accesos ejercidos desde la fecha de desvinculación.</t>
  </si>
  <si>
    <t>Frecuencia: Semanal. Alerta si se detectan &gt; 20 intentos fallidos desde una misma cuenta o IP en menos de 10 minutos. Posible indicador de ataque de fuerza bruta.</t>
  </si>
  <si>
    <t>Frecuencia: Semanal. Alerta si existe ≥ 1 cuenta con rol administrativo sin MFA activo. Condición crítica: debe resolverse de forma inmediata sin excepciones.</t>
  </si>
  <si>
    <t>Frecuencia: Mensual. Alerta si existe ≥ 1 cuenta de servicio sin propietario funcional documentado en el inventario. Acción: identificar propietario o desactivar.</t>
  </si>
  <si>
    <t>Frecuencia: Mensual. Alerta si han transcurrido &gt; 90 días desde la última auditoría formal de privilegios por rol. Programar revisión y documentar resultado.</t>
  </si>
  <si>
    <t>Frecuencia: Mensual. Alerta si existe ≥ 1 cuenta de servicio con contraseña vencida según la política. Ejecutar rotación coordinada verificando continuidad del servicio.</t>
  </si>
  <si>
    <t>Frecuencia: Mensual. Alerta si existe ≥ 1 cuenta que conserva permisos del rol anterior tras un cambio de área o función. Revocar privilegios acumulados y documentar en el sistema de tickets.</t>
  </si>
  <si>
    <t>Evidencia</t>
  </si>
  <si>
    <t>Registre en la columna 'Ticket / Evidencia' el número de ticket del sistema ITSM o la referencia del documento que acredita la medición o la acción tomada.</t>
  </si>
  <si>
    <t>Calendario NSOC</t>
  </si>
  <si>
    <t>Integre la revisión de estos KRI como tarea recurrente en el Calendario NSOC definido en el Capítulo 1: semanal para KRI-ID-01/02/03 y mensual para KRI-ID-04/05/06/07.</t>
  </si>
  <si>
    <t>© Mauricio Vergara Manjarrés · Ciberprotección para PyMES · github.com/MauricioVergaraMPC/ciberpymes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</si>
</sst>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85FA5"/>
      <name val="Arial"/>
      <charset val="1"/>
    </font>
    <font>
      <b/>
      <sz val="10"/>
      <color rgb="FFFFFFFF"/>
      <name val="Arial"/>
      <charset val="1"/>
    </font>
    <font>
      <b/>
      <sz val="9"/>
      <color rgb="FF185FA5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i/>
      <sz val="8"/>
      <color rgb="FF5F5E5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B5D4F4"/>
        <bgColor rgb="FF99CCFF"/>
      </patternFill>
    </fill>
    <fill>
      <patternFill patternType="solid">
        <fgColor rgb="FFFFFFFF"/>
        <bgColor rgb="FFF4F2EC"/>
      </patternFill>
    </fill>
    <fill>
      <patternFill patternType="solid">
        <fgColor rgb="FFF4F2EC"/>
        <bgColor rgb="FFFFFFFF"/>
      </patternFill>
    </fill>
    <fill>
      <patternFill patternType="solid">
        <fgColor rgb="FF5F5E5A"/>
        <bgColor rgb="FF3B6D11"/>
      </patternFill>
    </fill>
    <fill>
      <patternFill patternType="solid">
        <fgColor rgb="FF3B6D11"/>
        <bgColor rgb="FF5F5E5A"/>
      </patternFill>
    </fill>
    <fill>
      <patternFill patternType="solid">
        <fgColor rgb="FFBA7517"/>
        <bgColor rgb="FFFF6600"/>
      </patternFill>
    </fill>
    <fill>
      <patternFill patternType="solid">
        <fgColor rgb="FFA32D2D"/>
        <bgColor rgb="FF993366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0" borderId="0" xfId="0" applyFont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6">
    <dxf>
      <font>
        <b/>
        <sz val="9"/>
        <color rgb="FFFFFFFF"/>
        <name val="Arial"/>
        <charset val="1"/>
      </font>
      <fill>
        <patternFill>
          <bgColor rgb="FF3B6D11"/>
        </patternFill>
      </fill>
    </dxf>
    <dxf>
      <font>
        <b/>
        <sz val="9"/>
        <color rgb="FFFFFFFF"/>
        <name val="Arial"/>
        <charset val="1"/>
      </font>
      <fill>
        <patternFill>
          <bgColor rgb="FFBA7517"/>
        </patternFill>
      </fill>
    </dxf>
    <dxf>
      <font>
        <b/>
        <sz val="9"/>
        <color rgb="FFFFFFFF"/>
        <name val="Arial"/>
        <charset val="1"/>
      </font>
      <fill>
        <patternFill>
          <bgColor rgb="FFA32D2D"/>
        </patternFill>
      </fill>
    </dxf>
    <dxf>
      <font>
        <b/>
        <sz val="9"/>
        <color rgb="FFFFFFFF"/>
        <name val="Arial"/>
        <charset val="1"/>
      </font>
      <fill>
        <patternFill>
          <bgColor rgb="FF3B6D11"/>
        </patternFill>
      </fill>
    </dxf>
    <dxf>
      <font>
        <b/>
        <sz val="9"/>
        <color rgb="FFFFFFFF"/>
        <name val="Arial"/>
        <charset val="1"/>
      </font>
      <fill>
        <patternFill>
          <bgColor rgb="FFBA7517"/>
        </patternFill>
      </fill>
    </dxf>
    <dxf>
      <font>
        <b/>
        <sz val="9"/>
        <color rgb="FFFFFFFF"/>
        <name val="Arial"/>
        <charset val="1"/>
      </font>
      <fill>
        <patternFill>
          <bgColor rgb="FFA32D2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4F2EC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zoomScaleNormal="100" workbookViewId="0">
      <pane ySplit="4" topLeftCell="A5" activePane="bottomLeft" state="frozen"/>
      <selection pane="bottomLeft" sqref="A1:L1"/>
    </sheetView>
  </sheetViews>
  <sheetFormatPr baseColWidth="10" defaultColWidth="8.7109375" defaultRowHeight="15" x14ac:dyDescent="0.25"/>
  <cols>
    <col min="1" max="1" width="13" customWidth="1"/>
    <col min="2" max="2" width="38" customWidth="1"/>
    <col min="3" max="4" width="28" customWidth="1"/>
    <col min="5" max="5" width="12" customWidth="1"/>
    <col min="6" max="6" width="14" customWidth="1"/>
    <col min="7" max="7" width="10" customWidth="1"/>
    <col min="8" max="8" width="16" customWidth="1"/>
    <col min="9" max="9" width="18" customWidth="1"/>
    <col min="10" max="10" width="38" customWidth="1"/>
    <col min="11" max="11" width="30" customWidth="1"/>
    <col min="12" max="12" width="20" customWidth="1"/>
  </cols>
  <sheetData>
    <row r="1" spans="1:12" ht="27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8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7.5" customHeight="1" x14ac:dyDescent="0.25"/>
    <row r="4" spans="1:12" ht="30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spans="1:12" ht="48" customHeight="1" x14ac:dyDescent="0.25">
      <c r="A5" s="6" t="s">
        <v>14</v>
      </c>
      <c r="B5" s="7" t="s">
        <v>15</v>
      </c>
      <c r="C5" s="7" t="s">
        <v>16</v>
      </c>
      <c r="D5" s="7" t="s">
        <v>17</v>
      </c>
      <c r="E5" s="8" t="s">
        <v>18</v>
      </c>
      <c r="F5" s="7"/>
      <c r="G5" s="8"/>
      <c r="H5" s="8"/>
      <c r="I5" s="7"/>
      <c r="J5" s="7" t="s">
        <v>19</v>
      </c>
      <c r="K5" s="7"/>
      <c r="L5" s="7"/>
    </row>
    <row r="6" spans="1:12" ht="48" customHeight="1" x14ac:dyDescent="0.25">
      <c r="A6" s="9" t="s">
        <v>20</v>
      </c>
      <c r="B6" s="10" t="s">
        <v>21</v>
      </c>
      <c r="C6" s="10" t="s">
        <v>22</v>
      </c>
      <c r="D6" s="10" t="s">
        <v>23</v>
      </c>
      <c r="E6" s="11" t="s">
        <v>18</v>
      </c>
      <c r="F6" s="10"/>
      <c r="G6" s="11"/>
      <c r="H6" s="11"/>
      <c r="I6" s="10"/>
      <c r="J6" s="10" t="s">
        <v>24</v>
      </c>
      <c r="K6" s="10"/>
      <c r="L6" s="10"/>
    </row>
    <row r="7" spans="1:12" ht="48" customHeight="1" x14ac:dyDescent="0.25">
      <c r="A7" s="6" t="s">
        <v>25</v>
      </c>
      <c r="B7" s="7" t="s">
        <v>26</v>
      </c>
      <c r="C7" s="7" t="s">
        <v>27</v>
      </c>
      <c r="D7" s="7" t="s">
        <v>28</v>
      </c>
      <c r="E7" s="8" t="s">
        <v>18</v>
      </c>
      <c r="F7" s="7"/>
      <c r="G7" s="8"/>
      <c r="H7" s="8"/>
      <c r="I7" s="7"/>
      <c r="J7" s="7" t="s">
        <v>29</v>
      </c>
      <c r="K7" s="7"/>
      <c r="L7" s="7"/>
    </row>
    <row r="8" spans="1:12" ht="48" customHeight="1" x14ac:dyDescent="0.25">
      <c r="A8" s="9" t="s">
        <v>30</v>
      </c>
      <c r="B8" s="10" t="s">
        <v>31</v>
      </c>
      <c r="C8" s="10" t="s">
        <v>32</v>
      </c>
      <c r="D8" s="10" t="s">
        <v>33</v>
      </c>
      <c r="E8" s="11" t="s">
        <v>34</v>
      </c>
      <c r="F8" s="10"/>
      <c r="G8" s="11"/>
      <c r="H8" s="11"/>
      <c r="I8" s="10"/>
      <c r="J8" s="10" t="s">
        <v>35</v>
      </c>
      <c r="K8" s="10"/>
      <c r="L8" s="10"/>
    </row>
    <row r="9" spans="1:12" ht="48" customHeight="1" x14ac:dyDescent="0.25">
      <c r="A9" s="6" t="s">
        <v>36</v>
      </c>
      <c r="B9" s="7" t="s">
        <v>37</v>
      </c>
      <c r="C9" s="7" t="s">
        <v>38</v>
      </c>
      <c r="D9" s="7" t="s">
        <v>39</v>
      </c>
      <c r="E9" s="8" t="s">
        <v>34</v>
      </c>
      <c r="F9" s="7"/>
      <c r="G9" s="8"/>
      <c r="H9" s="8"/>
      <c r="I9" s="7"/>
      <c r="J9" s="7" t="s">
        <v>40</v>
      </c>
      <c r="K9" s="7"/>
      <c r="L9" s="7"/>
    </row>
    <row r="10" spans="1:12" ht="48" customHeight="1" x14ac:dyDescent="0.25">
      <c r="A10" s="9" t="s">
        <v>41</v>
      </c>
      <c r="B10" s="10" t="s">
        <v>42</v>
      </c>
      <c r="C10" s="10" t="s">
        <v>43</v>
      </c>
      <c r="D10" s="10" t="s">
        <v>44</v>
      </c>
      <c r="E10" s="11" t="s">
        <v>34</v>
      </c>
      <c r="F10" s="10"/>
      <c r="G10" s="11"/>
      <c r="H10" s="11"/>
      <c r="I10" s="10"/>
      <c r="J10" s="10" t="s">
        <v>45</v>
      </c>
      <c r="K10" s="10"/>
      <c r="L10" s="10"/>
    </row>
    <row r="11" spans="1:12" ht="48" customHeight="1" x14ac:dyDescent="0.25">
      <c r="A11" s="6" t="s">
        <v>46</v>
      </c>
      <c r="B11" s="7" t="s">
        <v>47</v>
      </c>
      <c r="C11" s="7" t="s">
        <v>48</v>
      </c>
      <c r="D11" s="7" t="s">
        <v>49</v>
      </c>
      <c r="E11" s="8" t="s">
        <v>34</v>
      </c>
      <c r="F11" s="7"/>
      <c r="G11" s="8"/>
      <c r="H11" s="8"/>
      <c r="I11" s="7"/>
      <c r="J11" s="7" t="s">
        <v>50</v>
      </c>
      <c r="K11" s="7"/>
      <c r="L11" s="7"/>
    </row>
  </sheetData>
  <mergeCells count="2">
    <mergeCell ref="A1:L1"/>
    <mergeCell ref="A2:L2"/>
  </mergeCells>
  <conditionalFormatting sqref="G5:G11">
    <cfRule type="cellIs" dxfId="5" priority="2" operator="equal">
      <formula>"🔴 Crítico"</formula>
    </cfRule>
    <cfRule type="cellIs" dxfId="4" priority="3" operator="equal">
      <formula>"⚠️ Alerta"</formula>
    </cfRule>
    <cfRule type="cellIs" dxfId="3" priority="4" operator="equal">
      <formula>"✅ Normal"</formula>
    </cfRule>
  </conditionalFormatting>
  <dataValidations count="1">
    <dataValidation type="list" allowBlank="1" error="Seleccione un valor de la lista" prompt="Estado del KRI" sqref="G5:G11" xr:uid="{00000000-0002-0000-0000-000000000000}">
      <formula1>"✅ Normal,⚠️ Alerta,🔴 Crítico,— Sin datos"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38" customWidth="1"/>
    <col min="3" max="3" width="12" customWidth="1"/>
    <col min="4" max="4" width="14" customWidth="1"/>
    <col min="5" max="5" width="28" customWidth="1"/>
    <col min="6" max="6" width="14" customWidth="1"/>
    <col min="7" max="7" width="18" customWidth="1"/>
    <col min="8" max="8" width="12" customWidth="1"/>
  </cols>
  <sheetData>
    <row r="1" spans="1:8" ht="27.75" customHeight="1" x14ac:dyDescent="0.25">
      <c r="A1" s="4" t="s">
        <v>51</v>
      </c>
      <c r="B1" s="4"/>
      <c r="C1" s="4"/>
      <c r="D1" s="4"/>
      <c r="E1" s="4"/>
      <c r="F1" s="4"/>
      <c r="G1" s="4"/>
      <c r="H1" s="4"/>
    </row>
    <row r="2" spans="1:8" ht="18" customHeight="1" x14ac:dyDescent="0.25">
      <c r="A2" s="3" t="s">
        <v>52</v>
      </c>
      <c r="B2" s="3"/>
      <c r="C2" s="3"/>
      <c r="D2" s="3"/>
      <c r="E2" s="3"/>
      <c r="F2" s="3"/>
      <c r="G2" s="3"/>
      <c r="H2" s="3"/>
    </row>
    <row r="3" spans="1:8" ht="7.5" customHeight="1" x14ac:dyDescent="0.25"/>
    <row r="4" spans="1:8" ht="27.75" customHeight="1" x14ac:dyDescent="0.25">
      <c r="A4" s="5" t="s">
        <v>2</v>
      </c>
      <c r="B4" s="5" t="s">
        <v>53</v>
      </c>
      <c r="C4" s="5" t="s">
        <v>6</v>
      </c>
      <c r="D4" s="5" t="s">
        <v>7</v>
      </c>
      <c r="E4" s="5" t="s">
        <v>54</v>
      </c>
      <c r="F4" s="5" t="s">
        <v>8</v>
      </c>
      <c r="G4" s="5" t="s">
        <v>55</v>
      </c>
      <c r="H4" s="5" t="s">
        <v>56</v>
      </c>
    </row>
    <row r="5" spans="1:8" ht="27.75" customHeight="1" x14ac:dyDescent="0.25">
      <c r="A5" s="6" t="s">
        <v>14</v>
      </c>
      <c r="B5" s="7" t="s">
        <v>15</v>
      </c>
      <c r="C5" s="8" t="s">
        <v>18</v>
      </c>
      <c r="D5" s="7">
        <f>'KRI Identidades'!F5</f>
        <v>0</v>
      </c>
      <c r="E5" s="7" t="s">
        <v>17</v>
      </c>
      <c r="F5" s="8">
        <f>'KRI Identidades'!G5</f>
        <v>0</v>
      </c>
      <c r="G5" s="8">
        <f>'KRI Identidades'!H5</f>
        <v>0</v>
      </c>
      <c r="H5" s="8"/>
    </row>
    <row r="6" spans="1:8" ht="27.75" customHeight="1" x14ac:dyDescent="0.25">
      <c r="A6" s="9" t="s">
        <v>20</v>
      </c>
      <c r="B6" s="10" t="s">
        <v>21</v>
      </c>
      <c r="C6" s="11" t="s">
        <v>18</v>
      </c>
      <c r="D6" s="10">
        <f>'KRI Identidades'!F6</f>
        <v>0</v>
      </c>
      <c r="E6" s="10" t="s">
        <v>57</v>
      </c>
      <c r="F6" s="11">
        <f>'KRI Identidades'!G6</f>
        <v>0</v>
      </c>
      <c r="G6" s="11">
        <f>'KRI Identidades'!H6</f>
        <v>0</v>
      </c>
      <c r="H6" s="11"/>
    </row>
    <row r="7" spans="1:8" ht="27.75" customHeight="1" x14ac:dyDescent="0.25">
      <c r="A7" s="6" t="s">
        <v>25</v>
      </c>
      <c r="B7" s="7" t="s">
        <v>26</v>
      </c>
      <c r="C7" s="8" t="s">
        <v>18</v>
      </c>
      <c r="D7" s="7">
        <f>'KRI Identidades'!F7</f>
        <v>0</v>
      </c>
      <c r="E7" s="7" t="s">
        <v>28</v>
      </c>
      <c r="F7" s="8">
        <f>'KRI Identidades'!G7</f>
        <v>0</v>
      </c>
      <c r="G7" s="8">
        <f>'KRI Identidades'!H7</f>
        <v>0</v>
      </c>
      <c r="H7" s="8"/>
    </row>
    <row r="8" spans="1:8" ht="27.75" customHeight="1" x14ac:dyDescent="0.25">
      <c r="A8" s="9" t="s">
        <v>30</v>
      </c>
      <c r="B8" s="10" t="s">
        <v>58</v>
      </c>
      <c r="C8" s="11" t="s">
        <v>34</v>
      </c>
      <c r="D8" s="10">
        <f>'KRI Identidades'!F8</f>
        <v>0</v>
      </c>
      <c r="E8" s="10" t="s">
        <v>33</v>
      </c>
      <c r="F8" s="11">
        <f>'KRI Identidades'!G8</f>
        <v>0</v>
      </c>
      <c r="G8" s="11">
        <f>'KRI Identidades'!H8</f>
        <v>0</v>
      </c>
      <c r="H8" s="11"/>
    </row>
    <row r="9" spans="1:8" ht="27.75" customHeight="1" x14ac:dyDescent="0.25">
      <c r="A9" s="6" t="s">
        <v>36</v>
      </c>
      <c r="B9" s="7" t="s">
        <v>59</v>
      </c>
      <c r="C9" s="8" t="s">
        <v>34</v>
      </c>
      <c r="D9" s="7">
        <f>'KRI Identidades'!F9</f>
        <v>0</v>
      </c>
      <c r="E9" s="7" t="s">
        <v>60</v>
      </c>
      <c r="F9" s="8">
        <f>'KRI Identidades'!G9</f>
        <v>0</v>
      </c>
      <c r="G9" s="8">
        <f>'KRI Identidades'!H9</f>
        <v>0</v>
      </c>
      <c r="H9" s="8"/>
    </row>
    <row r="10" spans="1:8" ht="27.75" customHeight="1" x14ac:dyDescent="0.25">
      <c r="A10" s="9" t="s">
        <v>41</v>
      </c>
      <c r="B10" s="10" t="s">
        <v>61</v>
      </c>
      <c r="C10" s="11" t="s">
        <v>34</v>
      </c>
      <c r="D10" s="10">
        <f>'KRI Identidades'!F10</f>
        <v>0</v>
      </c>
      <c r="E10" s="10" t="s">
        <v>44</v>
      </c>
      <c r="F10" s="11">
        <f>'KRI Identidades'!G10</f>
        <v>0</v>
      </c>
      <c r="G10" s="11">
        <f>'KRI Identidades'!H10</f>
        <v>0</v>
      </c>
      <c r="H10" s="11"/>
    </row>
    <row r="11" spans="1:8" ht="27.75" customHeight="1" x14ac:dyDescent="0.25">
      <c r="A11" s="6" t="s">
        <v>46</v>
      </c>
      <c r="B11" s="7" t="s">
        <v>47</v>
      </c>
      <c r="C11" s="8" t="s">
        <v>34</v>
      </c>
      <c r="D11" s="7">
        <f>'KRI Identidades'!F11</f>
        <v>0</v>
      </c>
      <c r="E11" s="7" t="s">
        <v>49</v>
      </c>
      <c r="F11" s="8">
        <f>'KRI Identidades'!G11</f>
        <v>0</v>
      </c>
      <c r="G11" s="8">
        <f>'KRI Identidades'!H11</f>
        <v>0</v>
      </c>
      <c r="H11" s="8"/>
    </row>
    <row r="13" spans="1:8" ht="7.5" customHeight="1" x14ac:dyDescent="0.25"/>
    <row r="14" spans="1:8" x14ac:dyDescent="0.25">
      <c r="A14" s="2" t="s">
        <v>62</v>
      </c>
      <c r="B14" s="2"/>
      <c r="C14" s="12"/>
    </row>
    <row r="15" spans="1:8" ht="21.75" customHeight="1" x14ac:dyDescent="0.25">
      <c r="A15" s="13" t="s">
        <v>63</v>
      </c>
      <c r="B15" s="14">
        <f>COUNTIF(F5:F11,"✅ Normal")</f>
        <v>0</v>
      </c>
    </row>
    <row r="16" spans="1:8" ht="21.75" customHeight="1" x14ac:dyDescent="0.25">
      <c r="A16" s="15" t="s">
        <v>64</v>
      </c>
      <c r="B16" s="14">
        <f>COUNTIF(F5:F11,"⚠️ Alerta")</f>
        <v>0</v>
      </c>
    </row>
    <row r="17" spans="1:2" ht="21.75" customHeight="1" x14ac:dyDescent="0.25">
      <c r="A17" s="16" t="s">
        <v>65</v>
      </c>
      <c r="B17" s="14">
        <f>COUNTIF(F5:F11,"🔴 Crítico")</f>
        <v>0</v>
      </c>
    </row>
    <row r="18" spans="1:2" ht="21.75" customHeight="1" x14ac:dyDescent="0.25">
      <c r="A18" s="17" t="s">
        <v>66</v>
      </c>
      <c r="B18" s="14">
        <f>COUNTIF(F5:F11,"— Sin datos")</f>
        <v>0</v>
      </c>
    </row>
  </sheetData>
  <mergeCells count="3">
    <mergeCell ref="A1:H1"/>
    <mergeCell ref="A2:H2"/>
    <mergeCell ref="A14:B14"/>
  </mergeCells>
  <conditionalFormatting sqref="F5:F11">
    <cfRule type="cellIs" dxfId="2" priority="2" operator="equal">
      <formula>"🔴 Crítico"</formula>
    </cfRule>
    <cfRule type="cellIs" dxfId="1" priority="3" operator="equal">
      <formula>"⚠️ Alerta"</formula>
    </cfRule>
    <cfRule type="cellIs" dxfId="0" priority="4" operator="equal">
      <formula>"✅ 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70" customWidth="1"/>
  </cols>
  <sheetData>
    <row r="1" spans="1:2" ht="27.75" customHeight="1" x14ac:dyDescent="0.25">
      <c r="A1" s="4" t="s">
        <v>67</v>
      </c>
      <c r="B1" s="4"/>
    </row>
    <row r="3" spans="1:2" ht="42" customHeight="1" x14ac:dyDescent="0.25">
      <c r="A3" s="18" t="s">
        <v>68</v>
      </c>
      <c r="B3" s="19" t="s">
        <v>69</v>
      </c>
    </row>
    <row r="4" spans="1:2" ht="42" customHeight="1" x14ac:dyDescent="0.25">
      <c r="A4" s="20" t="s">
        <v>70</v>
      </c>
      <c r="B4" s="21" t="s">
        <v>71</v>
      </c>
    </row>
    <row r="5" spans="1:2" ht="42" customHeight="1" x14ac:dyDescent="0.25">
      <c r="A5" s="18" t="s">
        <v>72</v>
      </c>
      <c r="B5" s="19" t="s">
        <v>73</v>
      </c>
    </row>
    <row r="6" spans="1:2" ht="42" customHeight="1" x14ac:dyDescent="0.25">
      <c r="A6" s="20" t="s">
        <v>74</v>
      </c>
      <c r="B6" s="21" t="s">
        <v>75</v>
      </c>
    </row>
    <row r="7" spans="1:2" ht="42" customHeight="1" x14ac:dyDescent="0.25">
      <c r="A7" s="18" t="s">
        <v>14</v>
      </c>
      <c r="B7" s="19" t="s">
        <v>76</v>
      </c>
    </row>
    <row r="8" spans="1:2" ht="42" customHeight="1" x14ac:dyDescent="0.25">
      <c r="A8" s="20" t="s">
        <v>20</v>
      </c>
      <c r="B8" s="21" t="s">
        <v>77</v>
      </c>
    </row>
    <row r="9" spans="1:2" ht="42" customHeight="1" x14ac:dyDescent="0.25">
      <c r="A9" s="18" t="s">
        <v>25</v>
      </c>
      <c r="B9" s="19" t="s">
        <v>78</v>
      </c>
    </row>
    <row r="10" spans="1:2" ht="42" customHeight="1" x14ac:dyDescent="0.25">
      <c r="A10" s="20" t="s">
        <v>30</v>
      </c>
      <c r="B10" s="21" t="s">
        <v>79</v>
      </c>
    </row>
    <row r="11" spans="1:2" ht="42" customHeight="1" x14ac:dyDescent="0.25">
      <c r="A11" s="18" t="s">
        <v>36</v>
      </c>
      <c r="B11" s="19" t="s">
        <v>80</v>
      </c>
    </row>
    <row r="12" spans="1:2" ht="42" customHeight="1" x14ac:dyDescent="0.25">
      <c r="A12" s="20" t="s">
        <v>41</v>
      </c>
      <c r="B12" s="21" t="s">
        <v>81</v>
      </c>
    </row>
    <row r="13" spans="1:2" ht="42" customHeight="1" x14ac:dyDescent="0.25">
      <c r="A13" s="18" t="s">
        <v>46</v>
      </c>
      <c r="B13" s="19" t="s">
        <v>82</v>
      </c>
    </row>
    <row r="14" spans="1:2" ht="42" customHeight="1" x14ac:dyDescent="0.25">
      <c r="A14" s="20" t="s">
        <v>83</v>
      </c>
      <c r="B14" s="21" t="s">
        <v>84</v>
      </c>
    </row>
    <row r="15" spans="1:2" ht="42" customHeight="1" x14ac:dyDescent="0.25">
      <c r="A15" s="18" t="s">
        <v>85</v>
      </c>
      <c r="B15" s="19" t="s">
        <v>86</v>
      </c>
    </row>
    <row r="18" spans="1:2" x14ac:dyDescent="0.25">
      <c r="A18" s="1" t="s">
        <v>87</v>
      </c>
      <c r="B18" s="1"/>
    </row>
  </sheetData>
  <mergeCells count="2">
    <mergeCell ref="A1:B1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KRI Identidades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2026-05-17T05:15:07Z</dcterms:created>
  <dcterms:modified xsi:type="dcterms:W3CDTF">2026-08-25T00:05:06Z</dcterms:modified>
  <dc:language>en-US</dc:language>
</cp:coreProperties>
</file>