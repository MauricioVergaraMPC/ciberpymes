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4- Identidades/Templates/"/>
    </mc:Choice>
  </mc:AlternateContent>
  <xr:revisionPtr revIDLastSave="3" documentId="11_A96B56284A4C1DB83B775B94B91F05475E5EEE98" xr6:coauthVersionLast="47" xr6:coauthVersionMax="47" xr10:uidLastSave="{321D3769-B68E-4AF4-BF0D-AE85DCE111D9}"/>
  <bookViews>
    <workbookView xWindow="3900" yWindow="1395" windowWidth="21600" windowHeight="11505" tabRatio="500" xr2:uid="{00000000-000D-0000-FFFF-FFFF00000000}"/>
  </bookViews>
  <sheets>
    <sheet name="Inventario NHI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2" l="1"/>
  <c r="E22" i="2"/>
  <c r="E21" i="2"/>
  <c r="E20" i="2"/>
  <c r="B18" i="2"/>
  <c r="B16" i="2"/>
  <c r="G15" i="2"/>
  <c r="E15" i="2"/>
  <c r="E14" i="2"/>
  <c r="G14" i="2" s="1"/>
  <c r="B14" i="2"/>
  <c r="E13" i="2"/>
  <c r="G13" i="2" s="1"/>
  <c r="E12" i="2"/>
  <c r="G12" i="2" s="1"/>
  <c r="B12" i="2"/>
  <c r="E11" i="2"/>
  <c r="G11" i="2" s="1"/>
  <c r="G10" i="2"/>
  <c r="E10" i="2"/>
  <c r="B10" i="2"/>
  <c r="G9" i="2"/>
  <c r="E9" i="2"/>
  <c r="G8" i="2"/>
  <c r="E8" i="2"/>
  <c r="B8" i="2"/>
  <c r="G7" i="2"/>
  <c r="E7" i="2"/>
  <c r="E6" i="2"/>
  <c r="E16" i="2" s="1"/>
  <c r="B6" i="2"/>
  <c r="B4" i="2"/>
  <c r="F23" i="2" s="1"/>
  <c r="F15" i="2" l="1"/>
  <c r="F16" i="2"/>
  <c r="F11" i="2"/>
  <c r="F12" i="2"/>
  <c r="G6" i="2"/>
  <c r="F9" i="2"/>
  <c r="F10" i="2"/>
  <c r="F20" i="2"/>
  <c r="F22" i="2"/>
  <c r="F7" i="2"/>
  <c r="F8" i="2"/>
  <c r="F6" i="2"/>
  <c r="F13" i="2"/>
  <c r="F14" i="2"/>
  <c r="F21" i="2"/>
</calcChain>
</file>

<file path=xl/sharedStrings.xml><?xml version="1.0" encoding="utf-8"?>
<sst xmlns="http://schemas.openxmlformats.org/spreadsheetml/2006/main" count="242" uniqueCount="176">
  <si>
    <t>INVENTARIO DE IDENTIDADES NO HUMANAS (NHI)</t>
  </si>
  <si>
    <t>Capítulo 4 — Gestión de Identidades  |  [NOMBRE DE LA ORGANIZACIÓN]</t>
  </si>
  <si>
    <t>Versión:</t>
  </si>
  <si>
    <t>1.0</t>
  </si>
  <si>
    <t>Fecha actualización:</t>
  </si>
  <si>
    <t>[DD/MM/AAAA]</t>
  </si>
  <si>
    <t>Responsable:</t>
  </si>
  <si>
    <t>[Nombre del responsable de TI]</t>
  </si>
  <si>
    <t>ID</t>
  </si>
  <si>
    <t>Nombre / Identificador</t>
  </si>
  <si>
    <t>Tipo de Identidad</t>
  </si>
  <si>
    <t>Sistema o Aplicación Propietaria</t>
  </si>
  <si>
    <t>Descripción / Propósito</t>
  </si>
  <si>
    <t>Nivel de Privilegio</t>
  </si>
  <si>
    <t>Sistemas con Acceso</t>
  </si>
  <si>
    <t>Fecha de Creación</t>
  </si>
  <si>
    <t>Fecha de Expiración</t>
  </si>
  <si>
    <t>¿Tiene Expiración?</t>
  </si>
  <si>
    <t>Responsable Humano</t>
  </si>
  <si>
    <t>Área Responsable</t>
  </si>
  <si>
    <t>¿Credencial en Código?</t>
  </si>
  <si>
    <t>¿Rotación Programada?</t>
  </si>
  <si>
    <t>Frecuencia de Rotación</t>
  </si>
  <si>
    <t>Última Rotación</t>
  </si>
  <si>
    <t>Estado</t>
  </si>
  <si>
    <t>Observaciones</t>
  </si>
  <si>
    <t>NHI-001</t>
  </si>
  <si>
    <t>svc_backup_agent</t>
  </si>
  <si>
    <t>Cuenta de servicio</t>
  </si>
  <si>
    <t>Veeam Backup</t>
  </si>
  <si>
    <t>Cuenta utilizada por el agente de respaldo para acceder al servidor de archivos</t>
  </si>
  <si>
    <t>Lectura / Escritura</t>
  </si>
  <si>
    <t>Servidor de archivos, NAS</t>
  </si>
  <si>
    <t>01/03/2024</t>
  </si>
  <si>
    <t>N/A</t>
  </si>
  <si>
    <t>No</t>
  </si>
  <si>
    <t>Juan Pérez</t>
  </si>
  <si>
    <t>TI</t>
  </si>
  <si>
    <t>Sí</t>
  </si>
  <si>
    <t>Mensual</t>
  </si>
  <si>
    <t>01/05/2026</t>
  </si>
  <si>
    <t>Activa</t>
  </si>
  <si>
    <t>NHI-002</t>
  </si>
  <si>
    <t>token_crm_facturacion</t>
  </si>
  <si>
    <t>Token de API</t>
  </si>
  <si>
    <t>Salesforce CRM</t>
  </si>
  <si>
    <t>Token de integración entre el CRM y el sistema de facturación</t>
  </si>
  <si>
    <t>Solo lectura</t>
  </si>
  <si>
    <t>Sistema de facturación</t>
  </si>
  <si>
    <t>15/01/2024</t>
  </si>
  <si>
    <t>15/01/2025</t>
  </si>
  <si>
    <t>María López</t>
  </si>
  <si>
    <t>Administración</t>
  </si>
  <si>
    <t>Anual</t>
  </si>
  <si>
    <t>Vencida</t>
  </si>
  <si>
    <t>Renovar con urgencia</t>
  </si>
  <si>
    <t>NHI-003</t>
  </si>
  <si>
    <t>aws_deploy_key</t>
  </si>
  <si>
    <t>Clave de acceso (AWS)</t>
  </si>
  <si>
    <t>AWS IAM</t>
  </si>
  <si>
    <t>Clave de despliegue para pipeline CI/CD</t>
  </si>
  <si>
    <t>Administrador</t>
  </si>
  <si>
    <t>Repositorio GitHub, AWS S3, Lambda</t>
  </si>
  <si>
    <t>10/06/2023</t>
  </si>
  <si>
    <t>Carlos Ruiz</t>
  </si>
  <si>
    <t>Desarrollo</t>
  </si>
  <si>
    <t>Revisar: sin rotación desde creación</t>
  </si>
  <si>
    <t>NHI-004</t>
  </si>
  <si>
    <t>monitor_wazuh</t>
  </si>
  <si>
    <t>Wazuh SIEM</t>
  </si>
  <si>
    <t>Cuenta de monitoreo con acceso de solo lectura a servidores</t>
  </si>
  <si>
    <t>Servidores Linux, Windows</t>
  </si>
  <si>
    <t>20/09/2024</t>
  </si>
  <si>
    <t>NHI-005</t>
  </si>
  <si>
    <t>svc_erp_db</t>
  </si>
  <si>
    <t>Cuenta de base de datos</t>
  </si>
  <si>
    <t>ERP corporativo</t>
  </si>
  <si>
    <t>Cuenta de conexión del ERP a la base de datos PostgreSQL</t>
  </si>
  <si>
    <t>PostgreSQL prod</t>
  </si>
  <si>
    <t>05/05/2022</t>
  </si>
  <si>
    <t>[Sin asignar]</t>
  </si>
  <si>
    <t>⚠ Credencial encontrada en archivo .env — revisar</t>
  </si>
  <si>
    <t>NHI-006</t>
  </si>
  <si>
    <t>NHI-007</t>
  </si>
  <si>
    <t>NHI-008</t>
  </si>
  <si>
    <t>NHI-009</t>
  </si>
  <si>
    <t>NHI-010</t>
  </si>
  <si>
    <t>NHI-011</t>
  </si>
  <si>
    <t>⚠  Campos de atención: Estado = Vencida / Huérfana → revisión urgente  |  ¿Credencial en Código? = Sí → migrar a secrets vault de inmediato  |  ¿Rotación Programada? = No → definir plan de rotación</t>
  </si>
  <si>
    <t>DASHBOARD — IDENTIDADES NO HUMANAS (NHI)</t>
  </si>
  <si>
    <t>Resumen automático del inventario  |  [NOMBRE DE LA ORGANIZACIÓN]</t>
  </si>
  <si>
    <t>Total NHI registradas</t>
  </si>
  <si>
    <t>Distribución por Tipo de Identidad</t>
  </si>
  <si>
    <t>Cantidad</t>
  </si>
  <si>
    <t>% del total</t>
  </si>
  <si>
    <t>NHI Activas</t>
  </si>
  <si>
    <t>NHI Vencidas</t>
  </si>
  <si>
    <t>Clave de acceso (GCP)</t>
  </si>
  <si>
    <t>NHI Huérfanas</t>
  </si>
  <si>
    <t>Clave de acceso (Azure)</t>
  </si>
  <si>
    <t>NHI Pendiente revisión</t>
  </si>
  <si>
    <t>Certificado</t>
  </si>
  <si>
    <t>Clave SSH</t>
  </si>
  <si>
    <t>Credencial expuesta en código</t>
  </si>
  <si>
    <t>Script / Bot</t>
  </si>
  <si>
    <t>Otro</t>
  </si>
  <si>
    <t>Sin rotación programada</t>
  </si>
  <si>
    <t>TOTAL</t>
  </si>
  <si>
    <t>Con rotación programada</t>
  </si>
  <si>
    <t>Distribución por Nivel de Privilegio</t>
  </si>
  <si>
    <t>Sin privilegios</t>
  </si>
  <si>
    <t>INSTRUCTIVO DE USO — INVENTARIO NHI</t>
  </si>
  <si>
    <t>Capítulo 4 — Gestión de Identidades y Accesos  |  Ciberprotección para PyMES</t>
  </si>
  <si>
    <t>COLUMNA</t>
  </si>
  <si>
    <t>CAMPO</t>
  </si>
  <si>
    <t>INSTRUCCIONES DE LLENADO</t>
  </si>
  <si>
    <t>A</t>
  </si>
  <si>
    <t>Identificador único de la identidad. Formato sugerido: NHI-001, NHI-002, etc. No modificar una vez asignado.</t>
  </si>
  <si>
    <t>B</t>
  </si>
  <si>
    <t>Nombre exacto con el que la identidad aparece en el sistema: nombre de usuario, nombre del token, alias del certificado, etc.</t>
  </si>
  <si>
    <t>C</t>
  </si>
  <si>
    <t>Seleccione el tipo desde la lista desplegable. Opciones: Cuenta de servicio, Token de API, Clave de acceso (AWS/GCP/Azure), Cuenta de base de datos, Certificado, Clave SSH, Script / Bot, Otro.</t>
  </si>
  <si>
    <t>D</t>
  </si>
  <si>
    <t>Sistema o aplicación que utiliza o gestiona esta identidad (ej. Veeam, Salesforce, AWS IAM, PostgreSQL).</t>
  </si>
  <si>
    <t>E</t>
  </si>
  <si>
    <t>Descripción breve del propósito de la identidad. Debe quedar claro por qué existe y qué hace.</t>
  </si>
  <si>
    <t>F</t>
  </si>
  <si>
    <t>Seleccione desde la lista: Solo lectura, Lectura / Escritura, Administrador, Sin privilegios. Aplicar principio de mínimo privilegio.</t>
  </si>
  <si>
    <t>G</t>
  </si>
  <si>
    <t>Liste todos los sistemas o recursos a los que esta identidad tiene acceso. Separar con coma si son varios.</t>
  </si>
  <si>
    <t>H</t>
  </si>
  <si>
    <t>Fecha en que se creó la identidad. Formato DD/MM/AAAA.</t>
  </si>
  <si>
    <t>I</t>
  </si>
  <si>
    <t>Fecha de vencimiento si aplica. Escribir 'N/A' si no tiene expiración configurada.</t>
  </si>
  <si>
    <t>J</t>
  </si>
  <si>
    <t>Seleccione Sí o No. Si la respuesta es No, documente en Observaciones el motivo.</t>
  </si>
  <si>
    <t>K</t>
  </si>
  <si>
    <t>Nombre de la persona responsable de esta identidad. Toda NHI debe tener un titular humano asignado. Nunca dejar en blanco.</t>
  </si>
  <si>
    <t>L</t>
  </si>
  <si>
    <t>Área o departamento al que pertenece el responsable humano (ej. TI, Desarrollo, Administración).</t>
  </si>
  <si>
    <t>M</t>
  </si>
  <si>
    <t>¿La contraseña, token o clave de esta identidad está embebida en código fuente, scripts o archivos de configuración? Si la respuesta es Sí, migrar a un secrets vault de inmediato. Esta situación aparecerá resaltada en rojo.</t>
  </si>
  <si>
    <t>N</t>
  </si>
  <si>
    <t>¿Existe un proceso documentado y ejecutado para rotar periódicamente las credenciales de esta identidad?</t>
  </si>
  <si>
    <t>O</t>
  </si>
  <si>
    <t>Seleccione la frecuencia de rotación desde la lista. Si no aplica, seleccione N/A.</t>
  </si>
  <si>
    <t>P</t>
  </si>
  <si>
    <t>Fecha de la última rotación de credenciales ejecutada. Formato DD/MM/AAAA. Escribir 'N/A' si nunca se ha rotado.</t>
  </si>
  <si>
    <t>Q</t>
  </si>
  <si>
    <t>Seleccione el estado actual: Activa, Vencida, Desactivada, Pendiente revisión, Huérfana. El color cambia automáticamente según el valor seleccionado.</t>
  </si>
  <si>
    <t>R</t>
  </si>
  <si>
    <t>Campo libre para notas adicionales, alertas o pendientes relevantes para la gestión de esta identidad.</t>
  </si>
  <si>
    <t>ESTADOS</t>
  </si>
  <si>
    <t>SIGNIFICADO</t>
  </si>
  <si>
    <t>ACCIÓN RECOMENDADA</t>
  </si>
  <si>
    <t>La identidad está en uso y su gestión está al día</t>
  </si>
  <si>
    <t>Mantener ciclo de revisión periódica</t>
  </si>
  <si>
    <t>La credencial o el token han superado su fecha de expiración</t>
  </si>
  <si>
    <t>Renovar o eliminar de forma inmediata</t>
  </si>
  <si>
    <t>Desactivada</t>
  </si>
  <si>
    <t>La identidad existe en el directorio pero ha sido deshabilitada</t>
  </si>
  <si>
    <t>Verificar si puede eliminarse definitivamente</t>
  </si>
  <si>
    <t>Pendiente revisión</t>
  </si>
  <si>
    <t>La identidad requiere verificación o actualización de información</t>
  </si>
  <si>
    <t>Asignar responsable y fecha de revisión</t>
  </si>
  <si>
    <t>Huérfana</t>
  </si>
  <si>
    <t>No tiene responsable humano asignado o su titular ya no pertenece a la organización</t>
  </si>
  <si>
    <t>Asignar nuevo responsable o eliminar de inmediato</t>
  </si>
  <si>
    <t>PERIODICIDAD</t>
  </si>
  <si>
    <t>ACTIVIDAD</t>
  </si>
  <si>
    <t>Revisar el inventario y actualizar estados. Detectar NHI vencidas u huérfanas.</t>
  </si>
  <si>
    <t>Trimestral</t>
  </si>
  <si>
    <t>Auditar que ninguna credencial esté embebida en código fuente.</t>
  </si>
  <si>
    <t>Según calendario</t>
  </si>
  <si>
    <t>Ejecutar rotación de credenciales de cuentas de servicio coordinando con sistemas dependientes.</t>
  </si>
  <si>
    <t>Revisar y actualizar este inventario completo. Eliminar NHI desactivadas sin uso.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</si>
</sst>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i/>
      <sz val="9"/>
      <color rgb="FF5F5E5A"/>
      <name val="Calibri"/>
      <charset val="1"/>
    </font>
    <font>
      <b/>
      <sz val="10"/>
      <color rgb="FF185FA5"/>
      <name val="Calibri"/>
      <charset val="1"/>
    </font>
    <font>
      <sz val="10"/>
      <color rgb="FF1A1A1A"/>
      <name val="Calibri"/>
      <charset val="1"/>
    </font>
    <font>
      <b/>
      <sz val="10"/>
      <color rgb="FFFFFFFF"/>
      <name val="Calibri"/>
      <charset val="1"/>
    </font>
    <font>
      <sz val="9"/>
      <color rgb="FFBA7517"/>
      <name val="Calibri"/>
      <charset val="1"/>
    </font>
    <font>
      <b/>
      <sz val="14"/>
      <color rgb="FF185FA5"/>
      <name val="Calibri"/>
      <charset val="1"/>
    </font>
    <font>
      <b/>
      <sz val="10"/>
      <color rgb="FF3B6D11"/>
      <name val="Calibri"/>
      <charset val="1"/>
    </font>
    <font>
      <b/>
      <sz val="14"/>
      <color rgb="FF3B6D11"/>
      <name val="Calibri"/>
      <charset val="1"/>
    </font>
    <font>
      <sz val="10"/>
      <color rgb="FF3B6D11"/>
      <name val="Calibri"/>
      <charset val="1"/>
    </font>
    <font>
      <b/>
      <sz val="10"/>
      <color rgb="FFA32D2D"/>
      <name val="Calibri"/>
      <charset val="1"/>
    </font>
    <font>
      <b/>
      <sz val="14"/>
      <color rgb="FFA32D2D"/>
      <name val="Calibri"/>
      <charset val="1"/>
    </font>
    <font>
      <b/>
      <sz val="10"/>
      <color rgb="FFBA7517"/>
      <name val="Calibri"/>
      <charset val="1"/>
    </font>
    <font>
      <b/>
      <sz val="14"/>
      <color rgb="FFBA7517"/>
      <name val="Calibri"/>
      <charset val="1"/>
    </font>
    <font>
      <sz val="10"/>
      <color rgb="FFBA7517"/>
      <name val="Calibri"/>
      <charset val="1"/>
    </font>
    <font>
      <sz val="10"/>
      <color rgb="FFA32D2D"/>
      <name val="Calibri"/>
      <charset val="1"/>
    </font>
    <font>
      <b/>
      <sz val="10"/>
      <color rgb="FF5F5E5A"/>
      <name val="Calibri"/>
      <charset val="1"/>
    </font>
    <font>
      <sz val="10"/>
      <color rgb="FF5F5E5A"/>
      <name val="Calibri"/>
      <charset val="1"/>
    </font>
    <font>
      <sz val="9"/>
      <color rgb="FF1A1A1A"/>
      <name val="Calibri"/>
      <charset val="1"/>
    </font>
    <font>
      <b/>
      <sz val="9"/>
      <color rgb="FFFFFFFF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B5D4F4"/>
        <bgColor rgb="FF99CCFF"/>
      </patternFill>
    </fill>
    <fill>
      <patternFill patternType="solid">
        <fgColor rgb="FFEEF5FB"/>
        <bgColor rgb="FFEBF3E8"/>
      </patternFill>
    </fill>
    <fill>
      <patternFill patternType="solid">
        <fgColor rgb="FFFFFFFF"/>
        <bgColor rgb="FFEEF5FB"/>
      </patternFill>
    </fill>
    <fill>
      <patternFill patternType="solid">
        <fgColor rgb="FFFDF3E3"/>
        <bgColor rgb="FFFAECEC"/>
      </patternFill>
    </fill>
    <fill>
      <patternFill patternType="solid">
        <fgColor rgb="FF5F5E5A"/>
        <bgColor rgb="FF3B6D11"/>
      </patternFill>
    </fill>
    <fill>
      <patternFill patternType="solid">
        <fgColor rgb="FFEBF3E8"/>
        <bgColor rgb="FFEEF5FB"/>
      </patternFill>
    </fill>
    <fill>
      <patternFill patternType="solid">
        <fgColor rgb="FFFAECEC"/>
        <bgColor rgb="FFFDF3E3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0" fillId="4" borderId="0" xfId="0" applyFill="1"/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64" fontId="16" fillId="9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164" fontId="18" fillId="4" borderId="1" xfId="0" applyNumberFormat="1" applyFont="1" applyFill="1" applyBorder="1" applyAlignment="1">
      <alignment horizontal="center" vertical="center"/>
    </xf>
    <xf numFmtId="0" fontId="19" fillId="5" borderId="0" xfId="0" applyFont="1" applyFill="1" applyAlignment="1">
      <alignment horizontal="left" vertical="top" wrapText="1"/>
    </xf>
    <xf numFmtId="0" fontId="20" fillId="2" borderId="1" xfId="0" applyFont="1" applyFill="1" applyBorder="1" applyAlignment="1">
      <alignment horizontal="left" vertical="top" wrapText="1"/>
    </xf>
    <xf numFmtId="0" fontId="19" fillId="5" borderId="1" xfId="0" applyFont="1" applyFill="1" applyBorder="1" applyAlignment="1">
      <alignment horizontal="left" vertical="top" wrapText="1"/>
    </xf>
    <xf numFmtId="0" fontId="19" fillId="4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sz val="10"/>
        <color rgb="FF3B6D11"/>
        <name val="Calibri"/>
        <charset val="1"/>
      </font>
      <fill>
        <patternFill>
          <bgColor rgb="FFEBF3E8"/>
        </patternFill>
      </fill>
    </dxf>
    <dxf>
      <font>
        <b/>
        <sz val="10"/>
        <color rgb="FFBA7517"/>
        <name val="Calibri"/>
        <charset val="1"/>
      </font>
      <fill>
        <patternFill>
          <bgColor rgb="FFFDF3E3"/>
        </patternFill>
      </fill>
    </dxf>
    <dxf>
      <font>
        <b/>
        <sz val="10"/>
        <color rgb="FFA32D2D"/>
        <name val="Calibri"/>
        <charset val="1"/>
      </font>
      <fill>
        <patternFill>
          <bgColor rgb="FFFAECEC"/>
        </patternFill>
      </fill>
    </dxf>
    <dxf>
      <font>
        <b/>
        <sz val="10"/>
        <color rgb="FFA32D2D"/>
        <name val="Calibri"/>
        <charset val="1"/>
      </font>
      <fill>
        <patternFill>
          <bgColor rgb="FFFAECEC"/>
        </patternFill>
      </fill>
    </dxf>
    <dxf>
      <font>
        <b/>
        <sz val="10"/>
        <color rgb="FFA32D2D"/>
        <name val="Calibri"/>
        <charset val="1"/>
      </font>
      <fill>
        <patternFill>
          <bgColor rgb="FFFA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DF3E3"/>
      <rgbColor rgb="FFEEF5FB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E8"/>
      <rgbColor rgb="FFFAECE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showGridLines="0" tabSelected="1" zoomScaleNormal="100" workbookViewId="0">
      <pane ySplit="4" topLeftCell="A5" activePane="bottomLeft" state="frozen"/>
      <selection pane="bottomLeft" sqref="A1:R1"/>
    </sheetView>
  </sheetViews>
  <sheetFormatPr baseColWidth="10" defaultColWidth="8.7109375" defaultRowHeight="15" x14ac:dyDescent="0.25"/>
  <cols>
    <col min="1" max="1" width="9" customWidth="1"/>
    <col min="2" max="2" width="28" customWidth="1"/>
    <col min="3" max="3" width="20" customWidth="1"/>
    <col min="4" max="4" width="28" customWidth="1"/>
    <col min="5" max="5" width="32" customWidth="1"/>
    <col min="6" max="6" width="18" customWidth="1"/>
    <col min="7" max="7" width="28" customWidth="1"/>
    <col min="8" max="9" width="15" customWidth="1"/>
    <col min="10" max="10" width="14" customWidth="1"/>
    <col min="11" max="11" width="22" customWidth="1"/>
    <col min="12" max="12" width="18" customWidth="1"/>
    <col min="13" max="14" width="16" customWidth="1"/>
    <col min="15" max="15" width="18" customWidth="1"/>
    <col min="16" max="16" width="15" customWidth="1"/>
    <col min="17" max="17" width="12" customWidth="1"/>
    <col min="18" max="18" width="30" customWidth="1"/>
  </cols>
  <sheetData>
    <row r="1" spans="1:18" ht="27.75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5.75" customHeight="1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8" ht="18" customHeight="1" x14ac:dyDescent="0.25">
      <c r="A3" s="2" t="s">
        <v>2</v>
      </c>
      <c r="B3" s="1" t="s">
        <v>3</v>
      </c>
      <c r="C3" s="2" t="s">
        <v>4</v>
      </c>
      <c r="D3" s="1" t="s">
        <v>5</v>
      </c>
      <c r="E3" s="2" t="s">
        <v>6</v>
      </c>
      <c r="F3" s="41" t="s">
        <v>7</v>
      </c>
      <c r="G3" s="41"/>
      <c r="H3" s="41"/>
      <c r="I3" s="41"/>
      <c r="J3" s="3"/>
      <c r="K3" s="3"/>
      <c r="L3" s="3"/>
      <c r="M3" s="3"/>
      <c r="N3" s="3"/>
      <c r="O3" s="3"/>
      <c r="P3" s="3"/>
      <c r="Q3" s="3"/>
      <c r="R3" s="3"/>
    </row>
    <row r="4" spans="1:18" ht="36" customHeight="1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  <c r="R4" s="4" t="s">
        <v>25</v>
      </c>
    </row>
    <row r="5" spans="1:18" ht="30" customHeight="1" x14ac:dyDescent="0.2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35</v>
      </c>
      <c r="N5" s="5" t="s">
        <v>38</v>
      </c>
      <c r="O5" s="5" t="s">
        <v>39</v>
      </c>
      <c r="P5" s="5" t="s">
        <v>40</v>
      </c>
      <c r="Q5" s="5" t="s">
        <v>41</v>
      </c>
      <c r="R5" s="5"/>
    </row>
    <row r="6" spans="1:18" ht="30" customHeight="1" x14ac:dyDescent="0.25">
      <c r="A6" s="6" t="s">
        <v>42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48</v>
      </c>
      <c r="H6" s="6" t="s">
        <v>49</v>
      </c>
      <c r="I6" s="6" t="s">
        <v>50</v>
      </c>
      <c r="J6" s="6" t="s">
        <v>38</v>
      </c>
      <c r="K6" s="6" t="s">
        <v>51</v>
      </c>
      <c r="L6" s="6" t="s">
        <v>52</v>
      </c>
      <c r="M6" s="6" t="s">
        <v>35</v>
      </c>
      <c r="N6" s="6" t="s">
        <v>38</v>
      </c>
      <c r="O6" s="6" t="s">
        <v>53</v>
      </c>
      <c r="P6" s="6" t="s">
        <v>50</v>
      </c>
      <c r="Q6" s="6" t="s">
        <v>54</v>
      </c>
      <c r="R6" s="6" t="s">
        <v>55</v>
      </c>
    </row>
    <row r="7" spans="1:18" ht="30" customHeight="1" x14ac:dyDescent="0.25">
      <c r="A7" s="5" t="s">
        <v>56</v>
      </c>
      <c r="B7" s="5" t="s">
        <v>57</v>
      </c>
      <c r="C7" s="5" t="s">
        <v>58</v>
      </c>
      <c r="D7" s="5" t="s">
        <v>59</v>
      </c>
      <c r="E7" s="5" t="s">
        <v>60</v>
      </c>
      <c r="F7" s="5" t="s">
        <v>61</v>
      </c>
      <c r="G7" s="5" t="s">
        <v>62</v>
      </c>
      <c r="H7" s="5" t="s">
        <v>63</v>
      </c>
      <c r="I7" s="5" t="s">
        <v>34</v>
      </c>
      <c r="J7" s="5" t="s">
        <v>35</v>
      </c>
      <c r="K7" s="5" t="s">
        <v>64</v>
      </c>
      <c r="L7" s="5" t="s">
        <v>65</v>
      </c>
      <c r="M7" s="5" t="s">
        <v>35</v>
      </c>
      <c r="N7" s="5" t="s">
        <v>35</v>
      </c>
      <c r="O7" s="5" t="s">
        <v>34</v>
      </c>
      <c r="P7" s="5" t="s">
        <v>34</v>
      </c>
      <c r="Q7" s="5" t="s">
        <v>41</v>
      </c>
      <c r="R7" s="5" t="s">
        <v>66</v>
      </c>
    </row>
    <row r="8" spans="1:18" ht="30" customHeight="1" x14ac:dyDescent="0.25">
      <c r="A8" s="6" t="s">
        <v>67</v>
      </c>
      <c r="B8" s="6" t="s">
        <v>68</v>
      </c>
      <c r="C8" s="6" t="s">
        <v>28</v>
      </c>
      <c r="D8" s="6" t="s">
        <v>69</v>
      </c>
      <c r="E8" s="6" t="s">
        <v>70</v>
      </c>
      <c r="F8" s="6" t="s">
        <v>47</v>
      </c>
      <c r="G8" s="6" t="s">
        <v>71</v>
      </c>
      <c r="H8" s="6" t="s">
        <v>72</v>
      </c>
      <c r="I8" s="6" t="s">
        <v>34</v>
      </c>
      <c r="J8" s="6" t="s">
        <v>35</v>
      </c>
      <c r="K8" s="6" t="s">
        <v>64</v>
      </c>
      <c r="L8" s="6" t="s">
        <v>37</v>
      </c>
      <c r="M8" s="6" t="s">
        <v>35</v>
      </c>
      <c r="N8" s="6" t="s">
        <v>35</v>
      </c>
      <c r="O8" s="6" t="s">
        <v>34</v>
      </c>
      <c r="P8" s="6" t="s">
        <v>34</v>
      </c>
      <c r="Q8" s="6" t="s">
        <v>41</v>
      </c>
      <c r="R8" s="6"/>
    </row>
    <row r="9" spans="1:18" ht="30" customHeight="1" x14ac:dyDescent="0.25">
      <c r="A9" s="5" t="s">
        <v>73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31</v>
      </c>
      <c r="G9" s="5" t="s">
        <v>78</v>
      </c>
      <c r="H9" s="5" t="s">
        <v>79</v>
      </c>
      <c r="I9" s="5" t="s">
        <v>34</v>
      </c>
      <c r="J9" s="5" t="s">
        <v>35</v>
      </c>
      <c r="K9" s="5" t="s">
        <v>80</v>
      </c>
      <c r="L9" s="5" t="s">
        <v>37</v>
      </c>
      <c r="M9" s="5" t="s">
        <v>38</v>
      </c>
      <c r="N9" s="5" t="s">
        <v>35</v>
      </c>
      <c r="O9" s="5" t="s">
        <v>34</v>
      </c>
      <c r="P9" s="5" t="s">
        <v>34</v>
      </c>
      <c r="Q9" s="5" t="s">
        <v>41</v>
      </c>
      <c r="R9" s="5" t="s">
        <v>81</v>
      </c>
    </row>
    <row r="10" spans="1:18" ht="24" customHeight="1" x14ac:dyDescent="0.25">
      <c r="A10" s="5" t="s">
        <v>82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24" customHeight="1" x14ac:dyDescent="0.25">
      <c r="A11" s="6" t="s">
        <v>83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24" customHeight="1" x14ac:dyDescent="0.25">
      <c r="A12" s="5" t="s">
        <v>84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24" customHeight="1" x14ac:dyDescent="0.25">
      <c r="A13" s="6" t="s">
        <v>85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24" customHeight="1" x14ac:dyDescent="0.25">
      <c r="A14" s="5" t="s">
        <v>86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24" customHeight="1" x14ac:dyDescent="0.25">
      <c r="A15" s="6" t="s">
        <v>87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7" spans="1:18" ht="19.5" customHeight="1" x14ac:dyDescent="0.25">
      <c r="A17" s="42" t="s">
        <v>88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</row>
  </sheetData>
  <mergeCells count="4">
    <mergeCell ref="A1:R1"/>
    <mergeCell ref="A2:R2"/>
    <mergeCell ref="F3:I3"/>
    <mergeCell ref="A17:R17"/>
  </mergeCells>
  <conditionalFormatting sqref="M5:M15">
    <cfRule type="cellIs" dxfId="4" priority="6" operator="equal">
      <formula>"Sí"</formula>
    </cfRule>
  </conditionalFormatting>
  <conditionalFormatting sqref="Q5:Q15">
    <cfRule type="cellIs" dxfId="3" priority="2" operator="equal">
      <formula>"Vencida"</formula>
    </cfRule>
    <cfRule type="cellIs" dxfId="2" priority="3" operator="equal">
      <formula>"Huérfana"</formula>
    </cfRule>
    <cfRule type="cellIs" dxfId="1" priority="4" operator="equal">
      <formula>"Pendiente revisión"</formula>
    </cfRule>
    <cfRule type="cellIs" dxfId="0" priority="5" operator="equal">
      <formula>"Activa"</formula>
    </cfRule>
  </conditionalFormatting>
  <dataValidations count="7">
    <dataValidation type="list" allowBlank="1" promptTitle="Tipo" prompt="Seleccione el tipo de identidad no humana" sqref="C5:C15" xr:uid="{00000000-0002-0000-0000-000000000000}">
      <formula1>"Cuenta de servicio,Token de API,Clave de acceso (AWS),Clave de acceso (GCP),Clave de acceso (Azure),Cuenta de base de datos,Certificado,Clave SSH,Script / Bot,Otro"</formula1>
      <formula2>0</formula2>
    </dataValidation>
    <dataValidation type="list" allowBlank="1" promptTitle="Privilegio" prompt="Seleccione el nivel de privilegio" sqref="F5:F15" xr:uid="{00000000-0002-0000-0000-000001000000}">
      <formula1>"Solo lectura,Lectura / Escritura,Administrador,Sin privilegios"</formula1>
      <formula2>0</formula2>
    </dataValidation>
    <dataValidation type="list" allowBlank="1" promptTitle="¿Tiene expiración?" sqref="J5:J15" xr:uid="{00000000-0002-0000-0000-000002000000}">
      <formula1>"Sí,No"</formula1>
      <formula2>0</formula2>
    </dataValidation>
    <dataValidation type="list" allowBlank="1" promptTitle="¿Credencial en código?" sqref="M5:M15" xr:uid="{00000000-0002-0000-0000-000003000000}">
      <formula1>"Sí,No"</formula1>
      <formula2>0</formula2>
    </dataValidation>
    <dataValidation type="list" allowBlank="1" promptTitle="¿Rotación programada?" sqref="N5:N15" xr:uid="{00000000-0002-0000-0000-000004000000}">
      <formula1>"Sí,No"</formula1>
      <formula2>0</formula2>
    </dataValidation>
    <dataValidation type="list" allowBlank="1" promptTitle="Frecuencia" prompt="Seleccione frecuencia de rotación" sqref="O5:O15" xr:uid="{00000000-0002-0000-0000-000005000000}">
      <formula1>"Diaria,Semanal,Mensual,Trimestral,Semestral,Anual,N/A"</formula1>
      <formula2>0</formula2>
    </dataValidation>
    <dataValidation type="list" allowBlank="1" promptTitle="Estado" prompt="Seleccione el estado actual" sqref="Q5:Q15" xr:uid="{00000000-0002-0000-0000-000006000000}">
      <formula1>"Activa,Vencida,Desactivada,Pendiente revisión,Huérfana"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12" customWidth="1"/>
    <col min="3" max="3" width="6" customWidth="1"/>
    <col min="4" max="4" width="30" customWidth="1"/>
    <col min="5" max="6" width="12" customWidth="1"/>
    <col min="7" max="7" width="10" customWidth="1"/>
    <col min="8" max="10" width="6" customWidth="1"/>
  </cols>
  <sheetData>
    <row r="1" spans="1:10" ht="27.75" customHeight="1" x14ac:dyDescent="0.25">
      <c r="A1" s="39" t="s">
        <v>89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5.75" customHeight="1" x14ac:dyDescent="0.25">
      <c r="A2" s="40" t="s">
        <v>90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9.75" customHeight="1" x14ac:dyDescent="0.25"/>
    <row r="4" spans="1:10" ht="21.75" customHeight="1" x14ac:dyDescent="0.25">
      <c r="A4" s="7" t="s">
        <v>91</v>
      </c>
      <c r="B4" s="8">
        <f>COUNTA('Inventario NHI'!A5:A15)</f>
        <v>11</v>
      </c>
      <c r="D4" s="43" t="s">
        <v>92</v>
      </c>
      <c r="E4" s="43"/>
      <c r="F4" s="43"/>
      <c r="G4" s="43"/>
    </row>
    <row r="5" spans="1:10" x14ac:dyDescent="0.25">
      <c r="D5" s="9" t="s">
        <v>10</v>
      </c>
      <c r="E5" s="9" t="s">
        <v>93</v>
      </c>
      <c r="F5" s="9" t="s">
        <v>94</v>
      </c>
      <c r="G5" s="9" t="s">
        <v>24</v>
      </c>
    </row>
    <row r="6" spans="1:10" ht="18" customHeight="1" x14ac:dyDescent="0.25">
      <c r="A6" s="10" t="s">
        <v>95</v>
      </c>
      <c r="B6" s="11">
        <f>COUNTIF('Inventario NHI'!Q5:Q15,"Activa")</f>
        <v>4</v>
      </c>
      <c r="D6" s="12" t="s">
        <v>28</v>
      </c>
      <c r="E6" s="13">
        <f>COUNTIF('Inventario NHI'!C5:C15,"Cuenta de servicio")</f>
        <v>2</v>
      </c>
      <c r="F6" s="14">
        <f>IF(B4=0,0,E6/B4)</f>
        <v>0.18181818181818182</v>
      </c>
      <c r="G6" s="15" t="str">
        <f t="shared" ref="G6:G15" si="0">IF(E6&gt;0,"✓","—")</f>
        <v>✓</v>
      </c>
    </row>
    <row r="7" spans="1:10" ht="18" customHeight="1" x14ac:dyDescent="0.25">
      <c r="D7" s="16" t="s">
        <v>44</v>
      </c>
      <c r="E7" s="17">
        <f>COUNTIF('Inventario NHI'!C5:C15,"Token de API")</f>
        <v>1</v>
      </c>
      <c r="F7" s="18">
        <f>IF(B4=0,0,E7/B4)</f>
        <v>9.0909090909090912E-2</v>
      </c>
      <c r="G7" s="19" t="str">
        <f t="shared" si="0"/>
        <v>✓</v>
      </c>
    </row>
    <row r="8" spans="1:10" ht="18" customHeight="1" x14ac:dyDescent="0.25">
      <c r="A8" s="20" t="s">
        <v>96</v>
      </c>
      <c r="B8" s="21">
        <f>COUNTIF('Inventario NHI'!Q5:Q15,"Vencida")</f>
        <v>1</v>
      </c>
      <c r="D8" s="12" t="s">
        <v>58</v>
      </c>
      <c r="E8" s="13">
        <f>COUNTIF('Inventario NHI'!C5:C15,"Clave de acceso (AWS)")</f>
        <v>1</v>
      </c>
      <c r="F8" s="14">
        <f>IF(B4=0,0,E8/B4)</f>
        <v>9.0909090909090912E-2</v>
      </c>
      <c r="G8" s="15" t="str">
        <f t="shared" si="0"/>
        <v>✓</v>
      </c>
    </row>
    <row r="9" spans="1:10" ht="18" customHeight="1" x14ac:dyDescent="0.25">
      <c r="D9" s="16" t="s">
        <v>97</v>
      </c>
      <c r="E9" s="17">
        <f>COUNTIF('Inventario NHI'!C5:C15,"Clave de acceso (GCP)")</f>
        <v>0</v>
      </c>
      <c r="F9" s="18">
        <f>IF(B4=0,0,E9/B4)</f>
        <v>0</v>
      </c>
      <c r="G9" s="19" t="str">
        <f t="shared" si="0"/>
        <v>—</v>
      </c>
    </row>
    <row r="10" spans="1:10" ht="18" customHeight="1" x14ac:dyDescent="0.25">
      <c r="A10" s="20" t="s">
        <v>98</v>
      </c>
      <c r="B10" s="21">
        <f>COUNTIF('Inventario NHI'!Q5:Q15,"Huérfana")</f>
        <v>0</v>
      </c>
      <c r="D10" s="12" t="s">
        <v>99</v>
      </c>
      <c r="E10" s="13">
        <f>COUNTIF('Inventario NHI'!C5:C15,"Clave de acceso (Azure)")</f>
        <v>0</v>
      </c>
      <c r="F10" s="14">
        <f>IF(B4=0,0,E10/B4)</f>
        <v>0</v>
      </c>
      <c r="G10" s="15" t="str">
        <f t="shared" si="0"/>
        <v>—</v>
      </c>
    </row>
    <row r="11" spans="1:10" ht="18" customHeight="1" x14ac:dyDescent="0.25">
      <c r="D11" s="16" t="s">
        <v>75</v>
      </c>
      <c r="E11" s="17">
        <f>COUNTIF('Inventario NHI'!C5:C15,"Cuenta de base de datos")</f>
        <v>1</v>
      </c>
      <c r="F11" s="18">
        <f>IF(B4=0,0,E11/B4)</f>
        <v>9.0909090909090912E-2</v>
      </c>
      <c r="G11" s="19" t="str">
        <f t="shared" si="0"/>
        <v>✓</v>
      </c>
    </row>
    <row r="12" spans="1:10" ht="18" customHeight="1" x14ac:dyDescent="0.25">
      <c r="A12" s="22" t="s">
        <v>100</v>
      </c>
      <c r="B12" s="23">
        <f>COUNTIF('Inventario NHI'!Q5:Q15,"Pendiente revisión")</f>
        <v>0</v>
      </c>
      <c r="D12" s="12" t="s">
        <v>101</v>
      </c>
      <c r="E12" s="13">
        <f>COUNTIF('Inventario NHI'!C5:C15,"Certificado")</f>
        <v>0</v>
      </c>
      <c r="F12" s="14">
        <f>IF(B4=0,0,E12/B4)</f>
        <v>0</v>
      </c>
      <c r="G12" s="15" t="str">
        <f t="shared" si="0"/>
        <v>—</v>
      </c>
    </row>
    <row r="13" spans="1:10" ht="18" customHeight="1" x14ac:dyDescent="0.25">
      <c r="D13" s="16" t="s">
        <v>102</v>
      </c>
      <c r="E13" s="17">
        <f>COUNTIF('Inventario NHI'!C5:C15,"Clave SSH")</f>
        <v>0</v>
      </c>
      <c r="F13" s="18">
        <f>IF(B4=0,0,E13/B4)</f>
        <v>0</v>
      </c>
      <c r="G13" s="19" t="str">
        <f t="shared" si="0"/>
        <v>—</v>
      </c>
    </row>
    <row r="14" spans="1:10" ht="18" customHeight="1" x14ac:dyDescent="0.25">
      <c r="A14" s="20" t="s">
        <v>103</v>
      </c>
      <c r="B14" s="21">
        <f>COUNTIF('Inventario NHI'!M5:M15,"Sí")</f>
        <v>1</v>
      </c>
      <c r="D14" s="12" t="s">
        <v>104</v>
      </c>
      <c r="E14" s="13">
        <f>COUNTIF('Inventario NHI'!C5:C15,"Script / Bot")</f>
        <v>0</v>
      </c>
      <c r="F14" s="14">
        <f>IF(B4=0,0,E14/B4)</f>
        <v>0</v>
      </c>
      <c r="G14" s="15" t="str">
        <f t="shared" si="0"/>
        <v>—</v>
      </c>
    </row>
    <row r="15" spans="1:10" ht="18" customHeight="1" x14ac:dyDescent="0.25">
      <c r="D15" s="16" t="s">
        <v>105</v>
      </c>
      <c r="E15" s="17">
        <f>COUNTIF('Inventario NHI'!C5:C15,"Otro")</f>
        <v>0</v>
      </c>
      <c r="F15" s="18">
        <f>IF(B4=0,0,E15/B4)</f>
        <v>0</v>
      </c>
      <c r="G15" s="19" t="str">
        <f t="shared" si="0"/>
        <v>—</v>
      </c>
    </row>
    <row r="16" spans="1:10" ht="21.75" customHeight="1" x14ac:dyDescent="0.25">
      <c r="A16" s="22" t="s">
        <v>106</v>
      </c>
      <c r="B16" s="23">
        <f>COUNTIF('Inventario NHI'!N5:N15,"No")</f>
        <v>3</v>
      </c>
      <c r="D16" s="24" t="s">
        <v>107</v>
      </c>
      <c r="E16" s="24">
        <f>SUM(E6:E15)</f>
        <v>5</v>
      </c>
      <c r="F16" s="25">
        <f>IF(B4=0,0,E16/B4)</f>
        <v>0.45454545454545453</v>
      </c>
    </row>
    <row r="18" spans="1:7" ht="21.75" customHeight="1" x14ac:dyDescent="0.25">
      <c r="A18" s="10" t="s">
        <v>108</v>
      </c>
      <c r="B18" s="11">
        <f>COUNTIF('Inventario NHI'!N5:N15,"Sí")</f>
        <v>2</v>
      </c>
      <c r="D18" s="43" t="s">
        <v>109</v>
      </c>
      <c r="E18" s="43"/>
      <c r="F18" s="43"/>
      <c r="G18" s="43"/>
    </row>
    <row r="19" spans="1:7" x14ac:dyDescent="0.25">
      <c r="D19" s="9" t="s">
        <v>13</v>
      </c>
      <c r="E19" s="9" t="s">
        <v>93</v>
      </c>
      <c r="F19" s="9" t="s">
        <v>94</v>
      </c>
    </row>
    <row r="20" spans="1:7" ht="19.5" customHeight="1" x14ac:dyDescent="0.25">
      <c r="D20" s="10" t="s">
        <v>47</v>
      </c>
      <c r="E20" s="26">
        <f>COUNTIF('Inventario NHI'!F5:F15,"Solo lectura")</f>
        <v>2</v>
      </c>
      <c r="F20" s="27">
        <f>IF(B4=0,0,E20/B4)</f>
        <v>0.18181818181818182</v>
      </c>
    </row>
    <row r="21" spans="1:7" ht="19.5" customHeight="1" x14ac:dyDescent="0.25">
      <c r="D21" s="22" t="s">
        <v>31</v>
      </c>
      <c r="E21" s="28">
        <f>COUNTIF('Inventario NHI'!F5:F15,"Lectura / Escritura")</f>
        <v>2</v>
      </c>
      <c r="F21" s="29">
        <f>IF(B4=0,0,E21/B4)</f>
        <v>0.18181818181818182</v>
      </c>
    </row>
    <row r="22" spans="1:7" ht="19.5" customHeight="1" x14ac:dyDescent="0.25">
      <c r="D22" s="20" t="s">
        <v>61</v>
      </c>
      <c r="E22" s="30">
        <f>COUNTIF('Inventario NHI'!F5:F15,"Administrador")</f>
        <v>1</v>
      </c>
      <c r="F22" s="31">
        <f>IF(B4=0,0,E22/B4)</f>
        <v>9.0909090909090912E-2</v>
      </c>
    </row>
    <row r="23" spans="1:7" ht="19.5" customHeight="1" x14ac:dyDescent="0.25">
      <c r="D23" s="32" t="s">
        <v>110</v>
      </c>
      <c r="E23" s="33">
        <f>COUNTIF('Inventario NHI'!F5:F15,"Sin privilegios")</f>
        <v>0</v>
      </c>
      <c r="F23" s="34">
        <f>IF(B4=0,0,E23/B4)</f>
        <v>0</v>
      </c>
    </row>
  </sheetData>
  <mergeCells count="4">
    <mergeCell ref="A1:J1"/>
    <mergeCell ref="A2:J2"/>
    <mergeCell ref="D4:G4"/>
    <mergeCell ref="D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showGridLines="0" zoomScaleNormal="100" workbookViewId="0"/>
  </sheetViews>
  <sheetFormatPr baseColWidth="10" defaultColWidth="8.7109375" defaultRowHeight="15" x14ac:dyDescent="0.25"/>
  <cols>
    <col min="1" max="1" width="18" customWidth="1"/>
    <col min="2" max="2" width="22" customWidth="1"/>
    <col min="3" max="3" width="60" customWidth="1"/>
  </cols>
  <sheetData>
    <row r="1" spans="1:5" ht="27.75" customHeight="1" x14ac:dyDescent="0.25">
      <c r="A1" s="39" t="s">
        <v>111</v>
      </c>
      <c r="B1" s="39"/>
      <c r="C1" s="39"/>
      <c r="D1" s="39"/>
      <c r="E1" s="39"/>
    </row>
    <row r="2" spans="1:5" ht="15.75" customHeight="1" x14ac:dyDescent="0.25">
      <c r="A2" s="40" t="s">
        <v>112</v>
      </c>
      <c r="B2" s="40"/>
      <c r="C2" s="40"/>
      <c r="D2" s="40"/>
      <c r="E2" s="40"/>
    </row>
    <row r="3" spans="1:5" ht="18" customHeight="1" x14ac:dyDescent="0.25">
      <c r="A3" s="35"/>
      <c r="B3" s="35"/>
      <c r="C3" s="35"/>
    </row>
    <row r="4" spans="1:5" ht="18" customHeight="1" x14ac:dyDescent="0.25">
      <c r="A4" s="36" t="s">
        <v>113</v>
      </c>
      <c r="B4" s="36" t="s">
        <v>114</v>
      </c>
      <c r="C4" s="36" t="s">
        <v>115</v>
      </c>
    </row>
    <row r="5" spans="1:5" ht="30" customHeight="1" x14ac:dyDescent="0.25">
      <c r="A5" s="37" t="s">
        <v>116</v>
      </c>
      <c r="B5" s="37" t="s">
        <v>8</v>
      </c>
      <c r="C5" s="37" t="s">
        <v>117</v>
      </c>
    </row>
    <row r="6" spans="1:5" ht="30" customHeight="1" x14ac:dyDescent="0.25">
      <c r="A6" s="38" t="s">
        <v>118</v>
      </c>
      <c r="B6" s="38" t="s">
        <v>9</v>
      </c>
      <c r="C6" s="38" t="s">
        <v>119</v>
      </c>
    </row>
    <row r="7" spans="1:5" ht="30" customHeight="1" x14ac:dyDescent="0.25">
      <c r="A7" s="37" t="s">
        <v>120</v>
      </c>
      <c r="B7" s="37" t="s">
        <v>10</v>
      </c>
      <c r="C7" s="37" t="s">
        <v>121</v>
      </c>
    </row>
    <row r="8" spans="1:5" ht="30" customHeight="1" x14ac:dyDescent="0.25">
      <c r="A8" s="38" t="s">
        <v>122</v>
      </c>
      <c r="B8" s="38" t="s">
        <v>11</v>
      </c>
      <c r="C8" s="38" t="s">
        <v>123</v>
      </c>
    </row>
    <row r="9" spans="1:5" ht="30" customHeight="1" x14ac:dyDescent="0.25">
      <c r="A9" s="37" t="s">
        <v>124</v>
      </c>
      <c r="B9" s="37" t="s">
        <v>12</v>
      </c>
      <c r="C9" s="37" t="s">
        <v>125</v>
      </c>
    </row>
    <row r="10" spans="1:5" ht="30" customHeight="1" x14ac:dyDescent="0.25">
      <c r="A10" s="38" t="s">
        <v>126</v>
      </c>
      <c r="B10" s="38" t="s">
        <v>13</v>
      </c>
      <c r="C10" s="38" t="s">
        <v>127</v>
      </c>
    </row>
    <row r="11" spans="1:5" ht="30" customHeight="1" x14ac:dyDescent="0.25">
      <c r="A11" s="37" t="s">
        <v>128</v>
      </c>
      <c r="B11" s="37" t="s">
        <v>14</v>
      </c>
      <c r="C11" s="37" t="s">
        <v>129</v>
      </c>
    </row>
    <row r="12" spans="1:5" ht="18" customHeight="1" x14ac:dyDescent="0.25">
      <c r="A12" s="38" t="s">
        <v>130</v>
      </c>
      <c r="B12" s="38" t="s">
        <v>15</v>
      </c>
      <c r="C12" s="38" t="s">
        <v>131</v>
      </c>
    </row>
    <row r="13" spans="1:5" ht="30" customHeight="1" x14ac:dyDescent="0.25">
      <c r="A13" s="37" t="s">
        <v>132</v>
      </c>
      <c r="B13" s="37" t="s">
        <v>16</v>
      </c>
      <c r="C13" s="37" t="s">
        <v>133</v>
      </c>
    </row>
    <row r="14" spans="1:5" ht="18" customHeight="1" x14ac:dyDescent="0.25">
      <c r="A14" s="38" t="s">
        <v>134</v>
      </c>
      <c r="B14" s="38" t="s">
        <v>17</v>
      </c>
      <c r="C14" s="38" t="s">
        <v>135</v>
      </c>
    </row>
    <row r="15" spans="1:5" ht="30" customHeight="1" x14ac:dyDescent="0.25">
      <c r="A15" s="37" t="s">
        <v>136</v>
      </c>
      <c r="B15" s="37" t="s">
        <v>18</v>
      </c>
      <c r="C15" s="37" t="s">
        <v>137</v>
      </c>
    </row>
    <row r="16" spans="1:5" ht="30" customHeight="1" x14ac:dyDescent="0.25">
      <c r="A16" s="38" t="s">
        <v>138</v>
      </c>
      <c r="B16" s="38" t="s">
        <v>19</v>
      </c>
      <c r="C16" s="38" t="s">
        <v>139</v>
      </c>
    </row>
    <row r="17" spans="1:3" ht="30" customHeight="1" x14ac:dyDescent="0.25">
      <c r="A17" s="37" t="s">
        <v>140</v>
      </c>
      <c r="B17" s="37" t="s">
        <v>20</v>
      </c>
      <c r="C17" s="37" t="s">
        <v>141</v>
      </c>
    </row>
    <row r="18" spans="1:3" ht="30" customHeight="1" x14ac:dyDescent="0.25">
      <c r="A18" s="38" t="s">
        <v>142</v>
      </c>
      <c r="B18" s="38" t="s">
        <v>21</v>
      </c>
      <c r="C18" s="38" t="s">
        <v>143</v>
      </c>
    </row>
    <row r="19" spans="1:3" ht="30" customHeight="1" x14ac:dyDescent="0.25">
      <c r="A19" s="37" t="s">
        <v>144</v>
      </c>
      <c r="B19" s="37" t="s">
        <v>22</v>
      </c>
      <c r="C19" s="37" t="s">
        <v>145</v>
      </c>
    </row>
    <row r="20" spans="1:3" ht="30" customHeight="1" x14ac:dyDescent="0.25">
      <c r="A20" s="38" t="s">
        <v>146</v>
      </c>
      <c r="B20" s="38" t="s">
        <v>23</v>
      </c>
      <c r="C20" s="38" t="s">
        <v>147</v>
      </c>
    </row>
    <row r="21" spans="1:3" ht="30" customHeight="1" x14ac:dyDescent="0.25">
      <c r="A21" s="37" t="s">
        <v>148</v>
      </c>
      <c r="B21" s="37" t="s">
        <v>24</v>
      </c>
      <c r="C21" s="37" t="s">
        <v>149</v>
      </c>
    </row>
    <row r="22" spans="1:3" ht="30" customHeight="1" x14ac:dyDescent="0.25">
      <c r="A22" s="38" t="s">
        <v>150</v>
      </c>
      <c r="B22" s="38" t="s">
        <v>25</v>
      </c>
      <c r="C22" s="38" t="s">
        <v>151</v>
      </c>
    </row>
    <row r="23" spans="1:3" ht="18" customHeight="1" x14ac:dyDescent="0.25">
      <c r="A23" s="35"/>
      <c r="B23" s="35"/>
      <c r="C23" s="35"/>
    </row>
    <row r="24" spans="1:3" ht="18" customHeight="1" x14ac:dyDescent="0.25">
      <c r="A24" s="36" t="s">
        <v>152</v>
      </c>
      <c r="B24" s="36" t="s">
        <v>153</v>
      </c>
      <c r="C24" s="36" t="s">
        <v>154</v>
      </c>
    </row>
    <row r="25" spans="1:3" ht="18" customHeight="1" x14ac:dyDescent="0.25">
      <c r="A25" s="37" t="s">
        <v>41</v>
      </c>
      <c r="B25" s="37" t="s">
        <v>155</v>
      </c>
      <c r="C25" s="37" t="s">
        <v>156</v>
      </c>
    </row>
    <row r="26" spans="1:3" ht="18" customHeight="1" x14ac:dyDescent="0.25">
      <c r="A26" s="38" t="s">
        <v>54</v>
      </c>
      <c r="B26" s="38" t="s">
        <v>157</v>
      </c>
      <c r="C26" s="38" t="s">
        <v>158</v>
      </c>
    </row>
    <row r="27" spans="1:3" ht="18" customHeight="1" x14ac:dyDescent="0.25">
      <c r="A27" s="37" t="s">
        <v>159</v>
      </c>
      <c r="B27" s="37" t="s">
        <v>160</v>
      </c>
      <c r="C27" s="37" t="s">
        <v>161</v>
      </c>
    </row>
    <row r="28" spans="1:3" ht="18" customHeight="1" x14ac:dyDescent="0.25">
      <c r="A28" s="38" t="s">
        <v>162</v>
      </c>
      <c r="B28" s="38" t="s">
        <v>163</v>
      </c>
      <c r="C28" s="38" t="s">
        <v>164</v>
      </c>
    </row>
    <row r="29" spans="1:3" ht="18" customHeight="1" x14ac:dyDescent="0.25">
      <c r="A29" s="37" t="s">
        <v>165</v>
      </c>
      <c r="B29" s="37" t="s">
        <v>166</v>
      </c>
      <c r="C29" s="37" t="s">
        <v>167</v>
      </c>
    </row>
    <row r="30" spans="1:3" ht="18" customHeight="1" x14ac:dyDescent="0.25">
      <c r="A30" s="35"/>
      <c r="B30" s="35"/>
      <c r="C30" s="35"/>
    </row>
    <row r="31" spans="1:3" ht="18" customHeight="1" x14ac:dyDescent="0.25">
      <c r="A31" s="36" t="s">
        <v>168</v>
      </c>
      <c r="B31" s="36" t="s">
        <v>169</v>
      </c>
      <c r="C31" s="36"/>
    </row>
    <row r="32" spans="1:3" ht="18" customHeight="1" x14ac:dyDescent="0.25">
      <c r="A32" s="38" t="s">
        <v>39</v>
      </c>
      <c r="B32" s="38" t="s">
        <v>170</v>
      </c>
      <c r="C32" s="38"/>
    </row>
    <row r="33" spans="1:3" ht="18" customHeight="1" x14ac:dyDescent="0.25">
      <c r="A33" s="37" t="s">
        <v>171</v>
      </c>
      <c r="B33" s="37" t="s">
        <v>172</v>
      </c>
      <c r="C33" s="37"/>
    </row>
    <row r="34" spans="1:3" ht="18" customHeight="1" x14ac:dyDescent="0.25">
      <c r="A34" s="38" t="s">
        <v>173</v>
      </c>
      <c r="B34" s="38" t="s">
        <v>174</v>
      </c>
      <c r="C34" s="38"/>
    </row>
    <row r="35" spans="1:3" ht="18" customHeight="1" x14ac:dyDescent="0.25">
      <c r="A35" s="37" t="s">
        <v>53</v>
      </c>
      <c r="B35" s="37" t="s">
        <v>175</v>
      </c>
      <c r="C35" s="37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 NHI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2026-05-20T18:04:24Z</dcterms:created>
  <dcterms:modified xsi:type="dcterms:W3CDTF">2026-08-25T00:05:34Z</dcterms:modified>
  <dc:language>en-US</dc:language>
</cp:coreProperties>
</file>